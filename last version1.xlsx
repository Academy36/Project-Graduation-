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7.xml" ContentType="application/vnd.openxmlformats-officedocument.spreadsheetml.table+xml"/>
  <Override PartName="/xl/pivotTables/pivotTable17.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slicers/slicer5.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aunedu-my.sharepoint.com/personal/mahany300125888_compit_aun_edu_eg/Documents/Desktop/excel new modern/"/>
    </mc:Choice>
  </mc:AlternateContent>
  <xr:revisionPtr revIDLastSave="755" documentId="8_{706C29B0-AC7C-43DE-8E64-437BDBF861A6}" xr6:coauthVersionLast="47" xr6:coauthVersionMax="47" xr10:uidLastSave="{C1B46BF7-EA0A-4973-AA7D-A61502CAE5D3}"/>
  <bookViews>
    <workbookView minimized="1" xWindow="1776" yWindow="1776" windowWidth="11928" windowHeight="8880" firstSheet="5" activeTab="10" xr2:uid="{6E14CDBA-C443-4651-873D-69FD1F435C96}"/>
  </bookViews>
  <sheets>
    <sheet name="clean" sheetId="1" r:id="rId1"/>
    <sheet name="Pinot Ph 1" sheetId="8" r:id="rId2"/>
    <sheet name="Dashboard phase1" sheetId="17" r:id="rId3"/>
    <sheet name="phase2" sheetId="2" r:id="rId4"/>
    <sheet name="pivot phase 2 " sheetId="4" r:id="rId5"/>
    <sheet name="phase3" sheetId="6" r:id="rId6"/>
    <sheet name="compartive analysis ph4" sheetId="11" r:id="rId7"/>
    <sheet name="Phase  Piovt 4" sheetId="13" r:id="rId8"/>
    <sheet name="ph5" sheetId="14" r:id="rId9"/>
    <sheet name="Piovt phase 5" sheetId="19" r:id="rId10"/>
    <sheet name="Dashboard 2" sheetId="20" r:id="rId11"/>
  </sheets>
  <definedNames>
    <definedName name="Slicer_Concerterntion_of_supplier">#N/A</definedName>
    <definedName name="Slicer_Perirtizing">#N/A</definedName>
    <definedName name="Slicer_Price_Category">#N/A</definedName>
    <definedName name="Slicer_Region">#N/A</definedName>
    <definedName name="Slicer_Trade_Agreements">#N/A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4" l="1"/>
  <c r="D3" i="14"/>
  <c r="E3" i="14" s="1"/>
  <c r="D4" i="14"/>
  <c r="D5" i="14"/>
  <c r="D6" i="14"/>
  <c r="D7" i="14"/>
  <c r="D8" i="14"/>
  <c r="D9" i="14"/>
  <c r="D10" i="14"/>
  <c r="E10" i="14" s="1"/>
  <c r="D11" i="14"/>
  <c r="E11" i="14" s="1"/>
  <c r="D12" i="14"/>
  <c r="E12" i="14" s="1"/>
  <c r="D13" i="14"/>
  <c r="E13" i="14" s="1"/>
  <c r="D14" i="14"/>
  <c r="E14" i="14" s="1"/>
  <c r="D15" i="14"/>
  <c r="E15" i="14" s="1"/>
  <c r="D16" i="14"/>
  <c r="E16" i="14" s="1"/>
  <c r="E4" i="14"/>
  <c r="G2" i="14"/>
  <c r="G3" i="14"/>
  <c r="G4" i="14"/>
  <c r="G5" i="14"/>
  <c r="G6" i="14"/>
  <c r="G7" i="14"/>
  <c r="G8" i="14"/>
  <c r="G9" i="14"/>
  <c r="G10" i="14"/>
  <c r="G11" i="14"/>
  <c r="G12" i="14"/>
  <c r="G13" i="14"/>
  <c r="G14" i="14"/>
  <c r="G15" i="14"/>
  <c r="G16" i="14"/>
  <c r="I2" i="14"/>
  <c r="I3" i="14"/>
  <c r="I4" i="14"/>
  <c r="I5" i="14"/>
  <c r="I6" i="14"/>
  <c r="I7" i="14"/>
  <c r="I8" i="14"/>
  <c r="I9" i="14"/>
  <c r="I10" i="14"/>
  <c r="I11" i="14"/>
  <c r="I12" i="14"/>
  <c r="I13" i="14"/>
  <c r="I14" i="14"/>
  <c r="I15" i="14"/>
  <c r="I16" i="14"/>
  <c r="D2" i="14"/>
  <c r="E2" i="14" s="1"/>
  <c r="E5" i="14"/>
  <c r="E6" i="14"/>
  <c r="E7" i="14"/>
  <c r="E8" i="14"/>
  <c r="E9" i="14"/>
  <c r="B2" i="14"/>
  <c r="B3" i="14"/>
  <c r="B4" i="14"/>
  <c r="B5" i="14"/>
  <c r="B6" i="14"/>
  <c r="B8" i="14"/>
  <c r="B9" i="14"/>
  <c r="B10" i="14"/>
  <c r="B11" i="14"/>
  <c r="B12" i="14"/>
  <c r="B13" i="14"/>
  <c r="B14" i="14"/>
  <c r="B15" i="14"/>
  <c r="B16" i="14"/>
  <c r="S24" i="11"/>
  <c r="S22" i="11"/>
  <c r="P2" i="1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P122" i="11"/>
  <c r="P123" i="11"/>
  <c r="P124" i="11"/>
  <c r="P125" i="11"/>
  <c r="P126" i="11"/>
  <c r="P127" i="11"/>
  <c r="P128" i="11"/>
  <c r="P129" i="11"/>
  <c r="P130" i="11"/>
  <c r="P131" i="11"/>
  <c r="P132" i="11"/>
  <c r="P133" i="11"/>
  <c r="P134" i="11"/>
  <c r="P135" i="11"/>
  <c r="P136" i="11"/>
  <c r="P137" i="11"/>
  <c r="P138" i="11"/>
  <c r="P139" i="11"/>
  <c r="P140"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4" i="11"/>
  <c r="P165" i="11"/>
  <c r="P166" i="11"/>
  <c r="P167" i="11"/>
  <c r="P168" i="11"/>
  <c r="P169" i="11"/>
  <c r="P170" i="11"/>
  <c r="P171" i="11"/>
  <c r="U8" i="11"/>
  <c r="S21" i="11"/>
  <c r="S8" i="11"/>
  <c r="B79" i="4"/>
  <c r="J17" i="13"/>
  <c r="B16" i="13"/>
  <c r="B38" i="13"/>
  <c r="C14" i="13"/>
  <c r="C16" i="14" l="1"/>
  <c r="J16" i="14" s="1"/>
  <c r="K16" i="14" s="1"/>
  <c r="C15" i="14"/>
  <c r="J15" i="14" s="1"/>
  <c r="K15" i="14" s="1"/>
  <c r="C3" i="14"/>
  <c r="J3" i="14" s="1"/>
  <c r="K3" i="14" s="1"/>
  <c r="C5" i="14"/>
  <c r="J5" i="14" s="1"/>
  <c r="K5" i="14" s="1"/>
  <c r="C14" i="14"/>
  <c r="J14" i="14" s="1"/>
  <c r="K14" i="14" s="1"/>
  <c r="C2" i="14"/>
  <c r="C12" i="14"/>
  <c r="J12" i="14" s="1"/>
  <c r="K12" i="14" s="1"/>
  <c r="C6" i="14"/>
  <c r="J6" i="14" s="1"/>
  <c r="K6" i="14" s="1"/>
  <c r="C11" i="14"/>
  <c r="J11" i="14" s="1"/>
  <c r="K11" i="14" s="1"/>
  <c r="C13" i="14"/>
  <c r="J13" i="14" s="1"/>
  <c r="K13" i="14" s="1"/>
  <c r="C7" i="14"/>
  <c r="J7" i="14" s="1"/>
  <c r="K7" i="14" s="1"/>
  <c r="C8" i="14"/>
  <c r="J8" i="14" s="1"/>
  <c r="K8" i="14" s="1"/>
  <c r="C9" i="14"/>
  <c r="J9" i="14" s="1"/>
  <c r="K9" i="14" s="1"/>
  <c r="C10" i="14"/>
  <c r="J10" i="14" s="1"/>
  <c r="K10" i="14" s="1"/>
  <c r="J2" i="14"/>
  <c r="K2" i="14" s="1"/>
  <c r="C4" i="14"/>
  <c r="J4" i="14" s="1"/>
  <c r="K4" i="14" s="1"/>
  <c r="S23" i="11"/>
  <c r="W8" i="11"/>
  <c r="Y8" i="11"/>
  <c r="S19" i="11"/>
  <c r="T19" i="11"/>
  <c r="U19" i="11"/>
  <c r="W19" i="11" l="1"/>
  <c r="Y19" i="11"/>
  <c r="V19" i="11"/>
  <c r="X19" i="11" s="1"/>
  <c r="U18" i="11"/>
  <c r="U16" i="11"/>
  <c r="U9" i="11"/>
  <c r="U10" i="11"/>
  <c r="U11" i="11"/>
  <c r="U12" i="11"/>
  <c r="U13" i="11"/>
  <c r="U14" i="11"/>
  <c r="U15" i="11"/>
  <c r="U17" i="11"/>
  <c r="T18" i="11"/>
  <c r="V18" i="11" s="1"/>
  <c r="X18" i="11" s="1"/>
  <c r="T16" i="11"/>
  <c r="T8" i="11"/>
  <c r="V8" i="11" s="1"/>
  <c r="X8" i="11" s="1"/>
  <c r="T9" i="11"/>
  <c r="T10" i="11"/>
  <c r="T11" i="11"/>
  <c r="T12" i="11"/>
  <c r="T13" i="11"/>
  <c r="T14" i="11"/>
  <c r="T15" i="11"/>
  <c r="T17" i="11"/>
  <c r="S16" i="11"/>
  <c r="S18" i="11"/>
  <c r="S9" i="11"/>
  <c r="S10" i="11"/>
  <c r="S11" i="11"/>
  <c r="S12" i="11"/>
  <c r="S13" i="11"/>
  <c r="S14" i="11"/>
  <c r="S15" i="11"/>
  <c r="S17" i="11"/>
  <c r="V10" i="11" l="1"/>
  <c r="X10" i="11" s="1"/>
  <c r="V9" i="11"/>
  <c r="X9" i="11" s="1"/>
  <c r="V16" i="11"/>
  <c r="X16" i="11" s="1"/>
  <c r="W17" i="11"/>
  <c r="Y17" i="11"/>
  <c r="W15" i="11"/>
  <c r="Y15" i="11"/>
  <c r="W14" i="11"/>
  <c r="Y14" i="11"/>
  <c r="W13" i="11"/>
  <c r="Y13" i="11"/>
  <c r="V12" i="11"/>
  <c r="X12" i="11" s="1"/>
  <c r="W18" i="11"/>
  <c r="Y18" i="11"/>
  <c r="W12" i="11"/>
  <c r="Y12" i="11"/>
  <c r="W11" i="11"/>
  <c r="Y11" i="11"/>
  <c r="W10" i="11"/>
  <c r="Y10" i="11"/>
  <c r="V14" i="11"/>
  <c r="X14" i="11" s="1"/>
  <c r="W9" i="11"/>
  <c r="Y9" i="11"/>
  <c r="W16" i="11"/>
  <c r="Y16" i="11"/>
  <c r="V11" i="11"/>
  <c r="X11" i="11" s="1"/>
  <c r="V17" i="11"/>
  <c r="X17" i="11" s="1"/>
  <c r="V15" i="11"/>
  <c r="X15" i="11" s="1"/>
  <c r="V13" i="11"/>
  <c r="X13" i="11" s="1"/>
  <c r="S13" i="6"/>
  <c r="S12" i="6"/>
  <c r="S11" i="6"/>
  <c r="S10" i="6"/>
  <c r="S9" i="6"/>
  <c r="S8" i="6"/>
  <c r="S7" i="6"/>
  <c r="S6" i="6"/>
  <c r="S5" i="6"/>
  <c r="S4" i="6"/>
  <c r="S3" i="6"/>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J9" i="2"/>
  <c r="J10" i="2"/>
  <c r="J11" i="2"/>
  <c r="J12" i="2"/>
  <c r="J13" i="2"/>
  <c r="J14" i="2"/>
  <c r="J15" i="2"/>
  <c r="J16" i="2"/>
  <c r="J17" i="2"/>
  <c r="J18" i="2"/>
  <c r="J19" i="2"/>
  <c r="J20" i="2"/>
  <c r="J21" i="2"/>
  <c r="J22" i="2"/>
  <c r="J23" i="2"/>
  <c r="I60" i="8"/>
  <c r="I15" i="8"/>
  <c r="B175" i="8"/>
</calcChain>
</file>

<file path=xl/sharedStrings.xml><?xml version="1.0" encoding="utf-8"?>
<sst xmlns="http://schemas.openxmlformats.org/spreadsheetml/2006/main" count="2174" uniqueCount="277">
  <si>
    <t>Importers</t>
  </si>
  <si>
    <t>Value imported in 2024 (USD thousand)</t>
  </si>
  <si>
    <t>Trade balance in 2024 (USD thousand)</t>
  </si>
  <si>
    <t>Quantity imported in 2024</t>
  </si>
  <si>
    <t>Unit value (USD/unit)</t>
  </si>
  <si>
    <t>Annual growth in value between 2020-2024 (%)</t>
  </si>
  <si>
    <t>Annual growth in quantity between 2020-2024 (%)</t>
  </si>
  <si>
    <t>Annual growth in value between 2023-2024 (%)</t>
  </si>
  <si>
    <t>Share in world imports (%)</t>
  </si>
  <si>
    <t>Average distance of supplying countries (km)</t>
  </si>
  <si>
    <t>Concentration of supplying countries</t>
  </si>
  <si>
    <t>Average tariff (estimated) applied by the country (%)</t>
  </si>
  <si>
    <t>Region</t>
  </si>
  <si>
    <t>Concerterntion of supplier</t>
  </si>
  <si>
    <t>Germany</t>
  </si>
  <si>
    <t>Europe</t>
  </si>
  <si>
    <t>Not Manoply</t>
  </si>
  <si>
    <t>United States of America</t>
  </si>
  <si>
    <t>North America</t>
  </si>
  <si>
    <t>Manoply</t>
  </si>
  <si>
    <t>Italy</t>
  </si>
  <si>
    <t>France</t>
  </si>
  <si>
    <t>Israel</t>
  </si>
  <si>
    <t>Middle East</t>
  </si>
  <si>
    <t>Viet Nam</t>
  </si>
  <si>
    <t>Southeast Asia</t>
  </si>
  <si>
    <t>Taipei, Chinese</t>
  </si>
  <si>
    <t>East Asia</t>
  </si>
  <si>
    <t>United Kingdom</t>
  </si>
  <si>
    <t>Belgium</t>
  </si>
  <si>
    <t>Austria</t>
  </si>
  <si>
    <t>Netherlands</t>
  </si>
  <si>
    <t>Ireland</t>
  </si>
  <si>
    <t>Mexico</t>
  </si>
  <si>
    <t>Indonesia</t>
  </si>
  <si>
    <t>Portugal</t>
  </si>
  <si>
    <t>Singapore</t>
  </si>
  <si>
    <t>Chile</t>
  </si>
  <si>
    <t>South America</t>
  </si>
  <si>
    <t>Spain</t>
  </si>
  <si>
    <t>Czech Republic</t>
  </si>
  <si>
    <t>Peru</t>
  </si>
  <si>
    <t>Argentina</t>
  </si>
  <si>
    <t>India</t>
  </si>
  <si>
    <t>South Asia</t>
  </si>
  <si>
    <t>China</t>
  </si>
  <si>
    <t>Sweden</t>
  </si>
  <si>
    <t>Switzerland</t>
  </si>
  <si>
    <t>Türkiye</t>
  </si>
  <si>
    <t>Malaysia</t>
  </si>
  <si>
    <t>Colombia</t>
  </si>
  <si>
    <t>Canada</t>
  </si>
  <si>
    <t>Poland</t>
  </si>
  <si>
    <t>Japan</t>
  </si>
  <si>
    <t>Ecuador</t>
  </si>
  <si>
    <t>Russian Federation</t>
  </si>
  <si>
    <t>Philippines</t>
  </si>
  <si>
    <t>Australia</t>
  </si>
  <si>
    <t>Oceania</t>
  </si>
  <si>
    <t>Jordan</t>
  </si>
  <si>
    <t>Slovakia</t>
  </si>
  <si>
    <t>Estonia</t>
  </si>
  <si>
    <t>Hungary</t>
  </si>
  <si>
    <t>Norway</t>
  </si>
  <si>
    <t>Uzbekistan</t>
  </si>
  <si>
    <t>South Africa</t>
  </si>
  <si>
    <t>Africa</t>
  </si>
  <si>
    <t>Kazakhstan</t>
  </si>
  <si>
    <t>Pakistan</t>
  </si>
  <si>
    <t>Nigeria</t>
  </si>
  <si>
    <t>Ghana</t>
  </si>
  <si>
    <t>Guatemala</t>
  </si>
  <si>
    <t>Finland</t>
  </si>
  <si>
    <t>Egypt</t>
  </si>
  <si>
    <t>Tanzania, United Republic of</t>
  </si>
  <si>
    <t>Lao People's Democratic Republic</t>
  </si>
  <si>
    <t>United Arab Emirates</t>
  </si>
  <si>
    <t>Turkmenistan</t>
  </si>
  <si>
    <t>Ukraine</t>
  </si>
  <si>
    <t>Cambodia</t>
  </si>
  <si>
    <t>Guinea</t>
  </si>
  <si>
    <t>Denmark</t>
  </si>
  <si>
    <t>Saudi Arabia</t>
  </si>
  <si>
    <t>El Salvador</t>
  </si>
  <si>
    <t>New Zealand</t>
  </si>
  <si>
    <t>Serbia</t>
  </si>
  <si>
    <t>Thailand</t>
  </si>
  <si>
    <t>Congo, Democratic Republic of the</t>
  </si>
  <si>
    <t>Zimbabwe</t>
  </si>
  <si>
    <t>Greece</t>
  </si>
  <si>
    <t>Romania</t>
  </si>
  <si>
    <t>Papua New Guinea</t>
  </si>
  <si>
    <t>Morocco</t>
  </si>
  <si>
    <t>Algeria</t>
  </si>
  <si>
    <t>Kenya</t>
  </si>
  <si>
    <t>Belarus</t>
  </si>
  <si>
    <t>Korea, Republic of</t>
  </si>
  <si>
    <t>Burkina Faso</t>
  </si>
  <si>
    <t>Slovenia</t>
  </si>
  <si>
    <t>Dominican Republic</t>
  </si>
  <si>
    <t>Tunisia</t>
  </si>
  <si>
    <t>Costa Rica</t>
  </si>
  <si>
    <t>Paraguay</t>
  </si>
  <si>
    <t>Iran, Islamic Republic of</t>
  </si>
  <si>
    <t>Sri Lanka</t>
  </si>
  <si>
    <t>Panama</t>
  </si>
  <si>
    <t>Azerbaijan</t>
  </si>
  <si>
    <t>Uruguay</t>
  </si>
  <si>
    <t>Bahrain</t>
  </si>
  <si>
    <t>Senegal</t>
  </si>
  <si>
    <t>Lithuania</t>
  </si>
  <si>
    <t>Brazil</t>
  </si>
  <si>
    <t>Mauritius</t>
  </si>
  <si>
    <t>Bulgaria</t>
  </si>
  <si>
    <t>Bolivia, Plurinational State of</t>
  </si>
  <si>
    <t>Nicaragua</t>
  </si>
  <si>
    <t>Croatia</t>
  </si>
  <si>
    <t>Iraq</t>
  </si>
  <si>
    <t>Kyrgyzstan</t>
  </si>
  <si>
    <t>Mali</t>
  </si>
  <si>
    <t>Namibia</t>
  </si>
  <si>
    <t>Côte d'Ivoire</t>
  </si>
  <si>
    <t>Hong Kong, China</t>
  </si>
  <si>
    <t>Uganda</t>
  </si>
  <si>
    <t>Kuwait</t>
  </si>
  <si>
    <t>Eswatini</t>
  </si>
  <si>
    <t>Libya, State of</t>
  </si>
  <si>
    <t>Angola</t>
  </si>
  <si>
    <t>Nepal</t>
  </si>
  <si>
    <t>Oman</t>
  </si>
  <si>
    <t>Latvia</t>
  </si>
  <si>
    <t>Myanmar</t>
  </si>
  <si>
    <t>Qatar</t>
  </si>
  <si>
    <t>Venezuela, Bolivarian Republic of</t>
  </si>
  <si>
    <t>Honduras</t>
  </si>
  <si>
    <t>Moldova, Republic of</t>
  </si>
  <si>
    <t>Georgia</t>
  </si>
  <si>
    <t>Jamaica</t>
  </si>
  <si>
    <t>Bangladesh</t>
  </si>
  <si>
    <t>Madagascar</t>
  </si>
  <si>
    <t>Iceland</t>
  </si>
  <si>
    <t>Bosnia and Herzegovina</t>
  </si>
  <si>
    <t>Armenia</t>
  </si>
  <si>
    <t>Lebanon</t>
  </si>
  <si>
    <t>Cyprus</t>
  </si>
  <si>
    <t>Trinidad and Tobago</t>
  </si>
  <si>
    <t>Malawi</t>
  </si>
  <si>
    <t>Barbados</t>
  </si>
  <si>
    <t>Afghanistan</t>
  </si>
  <si>
    <t>Luxembourg</t>
  </si>
  <si>
    <t>Macedonia, North</t>
  </si>
  <si>
    <t>Montenegro</t>
  </si>
  <si>
    <t>Mongolia</t>
  </si>
  <si>
    <t>Fiji</t>
  </si>
  <si>
    <t>Zambia</t>
  </si>
  <si>
    <t>Ethiopia</t>
  </si>
  <si>
    <t>Tajikistan</t>
  </si>
  <si>
    <t>Mozambique</t>
  </si>
  <si>
    <t>Albania</t>
  </si>
  <si>
    <t>Rwanda</t>
  </si>
  <si>
    <t>Djibouti</t>
  </si>
  <si>
    <t>Congo</t>
  </si>
  <si>
    <t>Cuba</t>
  </si>
  <si>
    <t>Benin</t>
  </si>
  <si>
    <t>Guyana</t>
  </si>
  <si>
    <t>Botswana</t>
  </si>
  <si>
    <t>Belize</t>
  </si>
  <si>
    <t>Aruba</t>
  </si>
  <si>
    <t>Malta</t>
  </si>
  <si>
    <t>Syrian Arab Republic</t>
  </si>
  <si>
    <t>Bahamas</t>
  </si>
  <si>
    <t>Lesotho</t>
  </si>
  <si>
    <t>Burundi</t>
  </si>
  <si>
    <t>Bermuda</t>
  </si>
  <si>
    <t>Sudan</t>
  </si>
  <si>
    <t>Somalia</t>
  </si>
  <si>
    <t>Suriname</t>
  </si>
  <si>
    <t>French Polynesia</t>
  </si>
  <si>
    <t>Korea, Democratic People's Republic of</t>
  </si>
  <si>
    <t>Seychelles</t>
  </si>
  <si>
    <t>Bhutan</t>
  </si>
  <si>
    <t>Antigua and Barbuda</t>
  </si>
  <si>
    <t>Gabon</t>
  </si>
  <si>
    <t>Grenada</t>
  </si>
  <si>
    <t>Maldives</t>
  </si>
  <si>
    <t>Cabo Verde</t>
  </si>
  <si>
    <t>Haiti</t>
  </si>
  <si>
    <t>Equatorial Guinea</t>
  </si>
  <si>
    <t>Cameroon</t>
  </si>
  <si>
    <t>Andorra</t>
  </si>
  <si>
    <t>Brunei Darussalam</t>
  </si>
  <si>
    <t>Mauritania</t>
  </si>
  <si>
    <t>New Caledonia</t>
  </si>
  <si>
    <t>Curaçao</t>
  </si>
  <si>
    <t>Sao Tome and Principe</t>
  </si>
  <si>
    <t>Row Labels</t>
  </si>
  <si>
    <t>Grand Total</t>
  </si>
  <si>
    <t>Sum of Value imported in 2024 (USD thousand)</t>
  </si>
  <si>
    <t>Region2</t>
  </si>
  <si>
    <t>Sum of Annual growth in value between 2020-2024 (%)</t>
  </si>
  <si>
    <t>The most Dynamic</t>
  </si>
  <si>
    <t>Highest impotrer  in volume</t>
  </si>
  <si>
    <t>Actual Market</t>
  </si>
  <si>
    <t>all</t>
  </si>
  <si>
    <t>target3</t>
  </si>
  <si>
    <t>3-Feb</t>
  </si>
  <si>
    <t>Target</t>
  </si>
  <si>
    <t>Column1</t>
  </si>
  <si>
    <t>conc of sup</t>
  </si>
  <si>
    <t>Sum of Concentration of supplying countries</t>
  </si>
  <si>
    <t>israeel</t>
  </si>
  <si>
    <t>Area Nes</t>
  </si>
  <si>
    <t xml:space="preserve"> South Africa</t>
  </si>
  <si>
    <t>china / india / belgium</t>
  </si>
  <si>
    <t>Congo, Democratic Republic</t>
  </si>
  <si>
    <t xml:space="preserve"> Kenya</t>
  </si>
  <si>
    <t xml:space="preserve">Iran, Islamic Republic of in 2024 (Mirror) </t>
  </si>
  <si>
    <t>turkeya 75</t>
  </si>
  <si>
    <t>Target Market</t>
  </si>
  <si>
    <t>Column2</t>
  </si>
  <si>
    <t>Column3</t>
  </si>
  <si>
    <t>Column4</t>
  </si>
  <si>
    <t>Column5</t>
  </si>
  <si>
    <t>Column6</t>
  </si>
  <si>
    <t>Column7</t>
  </si>
  <si>
    <t>Column8</t>
  </si>
  <si>
    <t>Column9</t>
  </si>
  <si>
    <t>Column10</t>
  </si>
  <si>
    <t>Column11</t>
  </si>
  <si>
    <t>Column12</t>
  </si>
  <si>
    <t>Column13</t>
  </si>
  <si>
    <t>Column14</t>
  </si>
  <si>
    <t>Average of Annual growth in value between 2020-2024 (%)</t>
  </si>
  <si>
    <t>Average of Value imported in 2024 (USD thousand)</t>
  </si>
  <si>
    <t>Average of Concentration of supplying countries</t>
  </si>
  <si>
    <t>Column Labels</t>
  </si>
  <si>
    <t>Compitatores</t>
  </si>
  <si>
    <t>Distance</t>
  </si>
  <si>
    <t>Price</t>
  </si>
  <si>
    <t>Tariff</t>
  </si>
  <si>
    <t>Tariff Category</t>
  </si>
  <si>
    <t xml:space="preserve">Total Price </t>
  </si>
  <si>
    <t>Sum of Price</t>
  </si>
  <si>
    <t xml:space="preserve">Who are Egypt’s direct competitors in the selected markets? </t>
  </si>
  <si>
    <t xml:space="preserve">Average of Total Price </t>
  </si>
  <si>
    <t>Median Price</t>
  </si>
  <si>
    <t>Median Tariff</t>
  </si>
  <si>
    <t xml:space="preserve">Price Category </t>
  </si>
  <si>
    <t>Total Price</t>
  </si>
  <si>
    <t>Median Total Price</t>
  </si>
  <si>
    <t>Median TotaL  Traiff</t>
  </si>
  <si>
    <t xml:space="preserve">Trade Agreements </t>
  </si>
  <si>
    <t>No</t>
  </si>
  <si>
    <t>Yes</t>
  </si>
  <si>
    <t>Distinct Count of Compitatores</t>
  </si>
  <si>
    <t>Average of Distance</t>
  </si>
  <si>
    <t>Market Size</t>
  </si>
  <si>
    <t>Growth</t>
  </si>
  <si>
    <t>Logistics</t>
  </si>
  <si>
    <t>Tariffs</t>
  </si>
  <si>
    <t>Total Score</t>
  </si>
  <si>
    <t>Market size score</t>
  </si>
  <si>
    <t>Growth score</t>
  </si>
  <si>
    <t>Logistics score</t>
  </si>
  <si>
    <t>Tariff score</t>
  </si>
  <si>
    <t>Perirtizing</t>
  </si>
  <si>
    <t>using algorithem</t>
  </si>
  <si>
    <t>using min max</t>
  </si>
  <si>
    <t>if condetion</t>
  </si>
  <si>
    <t>3.What is Egypt’s Logistical Advantage (Distance/Lead Time/Shipping Connectivity)?</t>
  </si>
  <si>
    <t>4.Are there Preferential Trade Agreements (e.g., COMESA, GAFTA) or lower tariffs for Egyptian goods?</t>
  </si>
  <si>
    <t>(All)</t>
  </si>
  <si>
    <t>Sum of Total Score</t>
  </si>
  <si>
    <t>Q 3 and 2   // .What is Egypt’s Logistical Advantage (Distance/Lead Time/Shipping Connectivity)?</t>
  </si>
  <si>
    <t>s</t>
  </si>
  <si>
    <t>ي</t>
  </si>
  <si>
    <t xml:space="preserve"> 4/ What is  The Average Total Price By Competitors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</si>
</sst>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0"/>
      <color theme="1"/>
      <name val="Arial"/>
      <family val="2"/>
    </font>
    <font>
      <b/>
      <i/>
      <sz val="10"/>
      <color theme="1"/>
      <name val="Calibri"/>
      <family val="2"/>
      <scheme val="minor"/>
    </font>
    <font>
      <b/>
      <i/>
      <u/>
      <sz val="12"/>
      <color theme="1"/>
      <name val="Arial"/>
      <family val="2"/>
    </font>
    <font>
      <sz val="10"/>
      <color theme="1"/>
      <name val="Arial Unicode MS"/>
      <family val="2"/>
    </font>
    <font>
      <b/>
      <i/>
      <u/>
      <sz val="11"/>
      <color theme="1"/>
      <name val="Calibri"/>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rgb="FF7030A0"/>
        <bgColor indexed="64"/>
      </patternFill>
    </fill>
    <fill>
      <patternFill patternType="solid">
        <fgColor rgb="FF92D050"/>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EEF2F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4" tint="0.39997558519241921"/>
      </right>
      <top style="thin">
        <color theme="4" tint="0.39997558519241921"/>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46" borderId="0"/>
    <xf numFmtId="0" fontId="1" fillId="0" borderId="0"/>
  </cellStyleXfs>
  <cellXfs count="29">
    <xf numFmtId="0" fontId="0" fillId="0" borderId="0" xfId="0"/>
    <xf numFmtId="0" fontId="0" fillId="0" borderId="0" xfId="0" applyAlignment="1">
      <alignment horizontal="left"/>
    </xf>
    <xf numFmtId="16" fontId="0" fillId="0" borderId="0" xfId="0" applyNumberFormat="1"/>
    <xf numFmtId="0" fontId="0" fillId="0" borderId="0" xfId="0" pivotButton="1"/>
    <xf numFmtId="0" fontId="0" fillId="33" borderId="10" xfId="0" applyFill="1" applyBorder="1"/>
    <xf numFmtId="0" fontId="0" fillId="34" borderId="0" xfId="0" applyFill="1"/>
    <xf numFmtId="0" fontId="18" fillId="0" borderId="0" xfId="0" applyFont="1" applyAlignment="1">
      <alignment horizontal="center" vertical="center"/>
    </xf>
    <xf numFmtId="0" fontId="18" fillId="0" borderId="0" xfId="0" applyFont="1"/>
    <xf numFmtId="0" fontId="18" fillId="44" borderId="0" xfId="0" applyFont="1" applyFill="1"/>
    <xf numFmtId="0" fontId="19" fillId="36" borderId="0" xfId="0" applyFont="1" applyFill="1"/>
    <xf numFmtId="0" fontId="19" fillId="41" borderId="0" xfId="0" applyFont="1" applyFill="1"/>
    <xf numFmtId="0" fontId="19" fillId="35" borderId="0" xfId="0" applyFont="1" applyFill="1"/>
    <xf numFmtId="0" fontId="19" fillId="39" borderId="0" xfId="0" applyFont="1" applyFill="1"/>
    <xf numFmtId="0" fontId="19" fillId="40" borderId="0" xfId="0" applyFont="1" applyFill="1"/>
    <xf numFmtId="0" fontId="19" fillId="38" borderId="0" xfId="0" applyFont="1" applyFill="1"/>
    <xf numFmtId="0" fontId="19" fillId="42" borderId="0" xfId="0" applyFont="1" applyFill="1"/>
    <xf numFmtId="0" fontId="19" fillId="43" borderId="0" xfId="0" applyFont="1" applyFill="1"/>
    <xf numFmtId="0" fontId="19" fillId="44" borderId="0" xfId="0" applyFont="1" applyFill="1"/>
    <xf numFmtId="0" fontId="19" fillId="45" borderId="0" xfId="0" applyFont="1" applyFill="1"/>
    <xf numFmtId="0" fontId="19" fillId="37" borderId="0" xfId="0" applyFont="1" applyFill="1"/>
    <xf numFmtId="164" fontId="0" fillId="0" borderId="0" xfId="0" applyNumberFormat="1"/>
    <xf numFmtId="0" fontId="20" fillId="0" borderId="0" xfId="0" applyFont="1"/>
    <xf numFmtId="3" fontId="0" fillId="0" borderId="0" xfId="0" applyNumberFormat="1"/>
    <xf numFmtId="0" fontId="21" fillId="0" borderId="0" xfId="0" applyFont="1"/>
    <xf numFmtId="1" fontId="21" fillId="0" borderId="0" xfId="0" applyNumberFormat="1" applyFont="1"/>
    <xf numFmtId="1" fontId="0" fillId="0" borderId="0" xfId="0" applyNumberFormat="1"/>
    <xf numFmtId="9" fontId="0" fillId="0" borderId="0" xfId="0" applyNumberFormat="1"/>
    <xf numFmtId="0" fontId="22" fillId="0" borderId="0" xfId="0" applyFont="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Style 1" xfId="42" xr:uid="{A7CDEFF1-888B-43D8-A11E-DE0771A02837}"/>
    <cellStyle name="Style 2" xfId="43" xr:uid="{75942F03-F724-4F52-AD65-B3C4D74EAD41}"/>
    <cellStyle name="Title" xfId="1" builtinId="15" customBuiltin="1"/>
    <cellStyle name="Total" xfId="17" builtinId="25" customBuiltin="1"/>
    <cellStyle name="Warning Text" xfId="14" builtinId="11" customBuiltin="1"/>
  </cellStyles>
  <dxfs count="76">
    <dxf>
      <fill>
        <patternFill>
          <bgColor theme="5" tint="0.79998168889431442"/>
        </patternFill>
      </fill>
    </dxf>
    <dxf>
      <fill>
        <patternFill>
          <bgColor theme="7" tint="0.79998168889431442"/>
        </patternFill>
      </fill>
    </dxf>
    <dxf>
      <fill>
        <patternFill>
          <bgColor theme="9" tint="0.79998168889431442"/>
        </patternFill>
      </fill>
    </dxf>
    <dxf>
      <fill>
        <patternFill>
          <bgColor theme="8" tint="0.59996337778862885"/>
        </patternFill>
      </fill>
    </dxf>
    <dxf>
      <fill>
        <patternFill>
          <bgColor theme="5" tint="0.39994506668294322"/>
        </patternFill>
      </fill>
    </dxf>
    <dxf>
      <fill>
        <patternFill>
          <bgColor theme="7" tint="-0.24994659260841701"/>
        </patternFill>
      </fill>
    </dxf>
    <dxf>
      <fill>
        <patternFill>
          <bgColor theme="9" tint="0.39994506668294322"/>
        </patternFill>
      </fill>
    </dxf>
    <dxf>
      <fill>
        <patternFill>
          <bgColor theme="7" tint="0.39994506668294322"/>
        </patternFill>
      </fill>
    </dxf>
    <dxf>
      <fill>
        <patternFill>
          <bgColor theme="4" tint="-0.24994659260841701"/>
        </patternFill>
      </fill>
    </dxf>
    <dxf>
      <fill>
        <patternFill>
          <bgColor theme="2" tint="-0.499984740745262"/>
        </patternFill>
      </fill>
    </dxf>
    <dxf>
      <fill>
        <patternFill>
          <bgColor rgb="FFFF0000"/>
        </patternFill>
      </fill>
    </dxf>
    <dxf>
      <fill>
        <patternFill>
          <bgColor rgb="FFC00000"/>
        </patternFill>
      </fill>
    </dxf>
    <dxf>
      <fill>
        <patternFill>
          <bgColor rgb="FF00B050"/>
        </patternFill>
      </fill>
    </dxf>
    <dxf>
      <fill>
        <patternFill>
          <bgColor rgb="FF7030A0"/>
        </patternFill>
      </fill>
    </dxf>
    <dxf>
      <fill>
        <patternFill>
          <bgColor theme="7" tint="-0.499984740745262"/>
        </patternFill>
      </fill>
    </dxf>
    <dxf>
      <fill>
        <patternFill>
          <bgColor rgb="FF92D050"/>
        </patternFill>
      </fill>
    </dxf>
    <dxf>
      <fill>
        <patternFill>
          <bgColor theme="0" tint="-0.34998626667073579"/>
        </patternFill>
      </fill>
    </dxf>
    <dxf>
      <fill>
        <patternFill>
          <bgColor theme="9" tint="-0.499984740745262"/>
        </patternFill>
      </fill>
    </dxf>
    <dxf>
      <fill>
        <patternFill>
          <bgColor theme="5" tint="-0.24994659260841701"/>
        </patternFill>
      </fill>
    </dxf>
    <dxf>
      <fill>
        <patternFill>
          <bgColor theme="6" tint="0.59996337778862885"/>
        </patternFill>
      </fill>
    </dxf>
    <dxf>
      <fill>
        <patternFill>
          <bgColor theme="5" tint="0.79998168889431442"/>
        </patternFill>
      </fill>
    </dxf>
    <dxf>
      <numFmt numFmtId="0" formatCode="General"/>
    </dxf>
    <dxf>
      <numFmt numFmtId="1" formatCode="0"/>
    </dxf>
    <dxf>
      <numFmt numFmtId="0" formatCode="General"/>
    </dxf>
    <dxf>
      <numFmt numFmtId="0" formatCode="General"/>
    </dxf>
    <dxf>
      <numFmt numFmtId="1" formatCode="0"/>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strike val="0"/>
        <outline val="0"/>
        <shadow val="0"/>
        <u val="none"/>
        <vertAlign val="baseline"/>
        <sz val="10"/>
        <color theme="1"/>
        <name val="Arial"/>
        <family val="2"/>
        <scheme val="none"/>
      </font>
      <fill>
        <patternFill patternType="none">
          <fgColor indexed="64"/>
          <bgColor auto="1"/>
        </patternFill>
      </fill>
    </dxf>
    <dxf>
      <font>
        <b/>
        <i/>
        <strike val="0"/>
        <outline val="0"/>
        <shadow val="0"/>
        <u val="none"/>
        <vertAlign val="baseline"/>
        <sz val="10"/>
        <color theme="1"/>
        <name val="Arial"/>
        <family val="2"/>
        <scheme val="none"/>
      </font>
      <fill>
        <patternFill patternType="none">
          <fgColor indexed="64"/>
          <bgColor auto="1"/>
        </patternFill>
      </fill>
    </dxf>
    <dxf>
      <font>
        <b/>
        <i/>
        <strike val="0"/>
        <outline val="0"/>
        <shadow val="0"/>
        <u val="none"/>
        <vertAlign val="baseline"/>
        <sz val="10"/>
        <color theme="1"/>
        <name val="Arial"/>
        <family val="2"/>
        <scheme val="none"/>
      </font>
      <fill>
        <patternFill patternType="none">
          <fgColor indexed="64"/>
          <bgColor auto="1"/>
        </patternFill>
      </fill>
    </dxf>
    <dxf>
      <font>
        <b/>
        <i/>
        <strike val="0"/>
        <outline val="0"/>
        <shadow val="0"/>
        <u val="none"/>
        <vertAlign val="baseline"/>
        <sz val="10"/>
        <color theme="1"/>
        <name val="Arial"/>
        <family val="2"/>
        <scheme val="none"/>
      </font>
      <fill>
        <patternFill patternType="none">
          <fgColor indexed="64"/>
          <bgColor auto="1"/>
        </patternFill>
      </fill>
    </dxf>
    <dxf>
      <font>
        <b/>
        <i/>
        <strike val="0"/>
        <outline val="0"/>
        <shadow val="0"/>
        <u val="none"/>
        <vertAlign val="baseline"/>
        <sz val="10"/>
        <color theme="1"/>
        <name val="Arial"/>
        <family val="2"/>
        <scheme val="none"/>
      </font>
      <fill>
        <patternFill patternType="none">
          <fgColor indexed="64"/>
          <bgColor auto="1"/>
        </patternFill>
      </fill>
    </dxf>
    <dxf>
      <font>
        <b/>
        <i/>
        <strike val="0"/>
        <outline val="0"/>
        <shadow val="0"/>
        <u val="none"/>
        <vertAlign val="baseline"/>
        <sz val="10"/>
        <color theme="1"/>
        <name val="Arial"/>
        <family val="2"/>
        <scheme val="none"/>
      </font>
      <fill>
        <patternFill patternType="none">
          <fgColor indexed="64"/>
          <bgColor auto="1"/>
        </patternFill>
      </fill>
    </dxf>
    <dxf>
      <font>
        <b/>
        <i/>
        <strike val="0"/>
        <outline val="0"/>
        <shadow val="0"/>
        <u val="none"/>
        <vertAlign val="baseline"/>
        <sz val="10"/>
        <color theme="1"/>
        <name val="Arial"/>
        <family val="2"/>
        <scheme val="none"/>
      </font>
      <fill>
        <patternFill patternType="none">
          <fgColor indexed="64"/>
          <bgColor auto="1"/>
        </patternFill>
      </fill>
    </dxf>
    <dxf>
      <font>
        <b/>
        <i/>
        <strike val="0"/>
        <outline val="0"/>
        <shadow val="0"/>
        <u val="none"/>
        <vertAlign val="baseline"/>
        <sz val="10"/>
        <color theme="1"/>
        <name val="Arial"/>
        <family val="2"/>
        <scheme val="none"/>
      </font>
      <fill>
        <patternFill patternType="none">
          <fgColor indexed="64"/>
          <bgColor auto="1"/>
        </patternFill>
      </fill>
    </dxf>
    <dxf>
      <font>
        <b/>
        <i/>
        <strike val="0"/>
        <outline val="0"/>
        <shadow val="0"/>
        <u val="none"/>
        <vertAlign val="baseline"/>
        <sz val="10"/>
        <color theme="1"/>
        <name val="Arial"/>
        <family val="2"/>
        <scheme val="none"/>
      </font>
      <fill>
        <patternFill patternType="none">
          <fgColor indexed="64"/>
          <bgColor auto="1"/>
        </patternFill>
      </fill>
    </dxf>
    <dxf>
      <font>
        <b/>
        <i/>
        <strike val="0"/>
        <outline val="0"/>
        <shadow val="0"/>
        <u val="none"/>
        <vertAlign val="baseline"/>
        <sz val="10"/>
        <color theme="1"/>
        <name val="Arial"/>
        <family val="2"/>
        <scheme val="none"/>
      </font>
      <fill>
        <patternFill patternType="none">
          <fgColor indexed="64"/>
          <bgColor auto="1"/>
        </patternFill>
      </fill>
    </dxf>
    <dxf>
      <font>
        <b/>
        <i/>
        <strike val="0"/>
        <outline val="0"/>
        <shadow val="0"/>
        <u val="none"/>
        <vertAlign val="baseline"/>
        <sz val="10"/>
        <color theme="1"/>
        <name val="Arial"/>
        <family val="2"/>
        <scheme val="none"/>
      </font>
      <fill>
        <patternFill patternType="none">
          <fgColor indexed="64"/>
          <bgColor auto="1"/>
        </patternFill>
      </fill>
    </dxf>
    <dxf>
      <font>
        <b/>
        <i/>
        <strike val="0"/>
        <outline val="0"/>
        <shadow val="0"/>
        <u val="none"/>
        <vertAlign val="baseline"/>
        <sz val="10"/>
        <color theme="1"/>
        <name val="Arial"/>
        <family val="2"/>
        <scheme val="none"/>
      </font>
      <fill>
        <patternFill patternType="none">
          <fgColor indexed="64"/>
          <bgColor auto="1"/>
        </patternFill>
      </fill>
    </dxf>
    <dxf>
      <font>
        <b/>
        <i/>
        <strike val="0"/>
        <outline val="0"/>
        <shadow val="0"/>
        <u val="none"/>
        <vertAlign val="baseline"/>
        <sz val="10"/>
        <color theme="1"/>
        <name val="Arial"/>
        <family val="2"/>
        <scheme val="none"/>
      </font>
      <fill>
        <patternFill patternType="none">
          <fgColor indexed="64"/>
          <bgColor auto="1"/>
        </patternFill>
      </fill>
    </dxf>
    <dxf>
      <font>
        <b/>
        <i/>
        <strike val="0"/>
        <outline val="0"/>
        <shadow val="0"/>
        <u val="none"/>
        <vertAlign val="baseline"/>
        <sz val="10"/>
        <color theme="1"/>
        <name val="Arial"/>
        <family val="2"/>
        <scheme val="none"/>
      </font>
      <fill>
        <patternFill patternType="none">
          <fgColor indexed="64"/>
          <bgColor auto="1"/>
        </patternFill>
      </fill>
    </dxf>
    <dxf>
      <font>
        <b/>
        <i/>
        <strike val="0"/>
        <outline val="0"/>
        <shadow val="0"/>
        <u val="none"/>
        <vertAlign val="baseline"/>
        <sz val="10"/>
        <color theme="1"/>
        <name val="Arial"/>
        <family val="2"/>
        <scheme val="none"/>
      </font>
      <fill>
        <patternFill patternType="none">
          <fgColor indexed="64"/>
          <bgColor auto="1"/>
        </patternFill>
      </fill>
      <alignment horizontal="center" vertical="center" textRotation="0" wrapText="0" indent="0" justifyLastLine="0" shrinkToFit="0" readingOrder="0"/>
    </dxf>
    <dxf>
      <font>
        <b/>
        <i/>
        <strike val="0"/>
        <outline val="0"/>
        <shadow val="0"/>
        <u val="none"/>
        <vertAlign val="baseline"/>
        <sz val="10"/>
        <color theme="1"/>
        <name val="Arial"/>
        <family val="2"/>
        <scheme val="none"/>
      </font>
      <fill>
        <patternFill patternType="none">
          <fgColor indexed="64"/>
          <bgColor auto="1"/>
        </patternFill>
      </fill>
    </dxf>
    <dxf>
      <fill>
        <patternFill patternType="none">
          <fgColor indexed="64"/>
          <bgColor auto="1"/>
        </patternFill>
      </fill>
    </dxf>
    <dxf>
      <numFmt numFmtId="0" formatCode="General"/>
    </dxf>
    <dxf>
      <numFmt numFmtId="0" formatCode="General"/>
    </dxf>
    <dxf>
      <numFmt numFmtId="0" formatCode="General"/>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 formatCode="0"/>
    </dxf>
    <dxf>
      <fill>
        <patternFill patternType="darkHorizontal">
          <fgColor theme="7" tint="-0.24994659260841701"/>
        </patternFill>
      </fill>
      <border diagonalDown="1">
        <left style="thin">
          <color auto="1"/>
        </left>
        <right style="thin">
          <color auto="1"/>
        </right>
        <top style="thin">
          <color auto="1"/>
        </top>
        <bottom style="thin">
          <color auto="1"/>
        </bottom>
        <diagonal style="thin">
          <color auto="1"/>
        </diagonal>
      </border>
    </dxf>
    <dxf>
      <fill>
        <patternFill patternType="lightHorizontal">
          <fgColor theme="7" tint="-0.499984740745262"/>
        </patternFill>
      </fill>
    </dxf>
  </dxfs>
  <tableStyles count="2" defaultTableStyle="TableStyleMedium2" defaultPivotStyle="PivotStyleLight16">
    <tableStyle name="Slicer Style 1" pivot="0" table="0" count="4" xr9:uid="{499ED0D7-52DF-440B-A3CE-65AB7D76120D}">
      <tableStyleElement type="wholeTable" dxfId="75"/>
      <tableStyleElement type="headerRow" dxfId="74"/>
    </tableStyle>
    <tableStyle name="Slicer Style 2" pivot="0" table="0" count="1" xr9:uid="{960FE909-0F1A-430A-A5E8-19043264E216}"/>
  </tableStyles>
  <colors>
    <mruColors>
      <color rgb="FF385F7C"/>
      <color rgb="FFCCDCE8"/>
      <color rgb="FFF0F4F6"/>
      <color rgb="FFE1EAF1"/>
      <color rgb="FF1B2A4A"/>
      <color rgb="FF2A322A"/>
      <color rgb="FFAAAE7F"/>
      <color rgb="FF6B7280"/>
      <color rgb="FF5B4BF7"/>
      <color rgb="FFF8F9FA"/>
    </mruColors>
  </colors>
  <extLst>
    <ext xmlns:x14="http://schemas.microsoft.com/office/spreadsheetml/2009/9/main" uri="{46F421CA-312F-682f-3DD2-61675219B42D}">
      <x14:dxfs count="3">
        <dxf>
          <font>
            <u val="double"/>
            <color rgb="FF385F7C"/>
          </font>
        </dxf>
        <dxf>
          <fill>
            <patternFill patternType="lightHorizontal">
              <fgColor theme="7" tint="-0.499984740745262"/>
            </patternFill>
          </fill>
        </dxf>
        <dxf>
          <border diagonalUp="1">
            <left style="medium">
              <color auto="1"/>
            </left>
            <right style="medium">
              <color auto="1"/>
            </right>
            <top style="medium">
              <color auto="1"/>
            </top>
            <bottom style="medium">
              <color auto="1"/>
            </bottom>
            <diagonal style="medium">
              <color auto="1"/>
            </diagon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hoveredSelectedItemWithData" dxfId="1"/>
          </x14:slicerStyleElements>
        </x14:slicerStyle>
        <x14:slicerStyle name="Slicer Style 2">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[last version1.xlsx]Pinot Ph 1!PivotTable2</c:name>
    <c:fmtId val="6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8648944670717"/>
          <c:y val="0.10138991887054824"/>
          <c:w val="0.68992994160263477"/>
          <c:h val="0.77753473002435824"/>
        </c:manualLayout>
      </c:layout>
      <c:barChart>
        <c:barDir val="bar"/>
        <c:grouping val="stacked"/>
        <c:varyColors val="0"/>
        <c:ser>
          <c:idx val="0"/>
          <c:order val="0"/>
          <c:tx>
            <c:strRef>
              <c:f>'Pinot Ph 1'!$I$3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'Pinot Ph 1'!$H$4:$H$14</c:f>
              <c:strCache>
                <c:ptCount val="10"/>
                <c:pt idx="0">
                  <c:v>Germany</c:v>
                </c:pt>
                <c:pt idx="1">
                  <c:v>United States of America</c:v>
                </c:pt>
                <c:pt idx="2">
                  <c:v>Italy</c:v>
                </c:pt>
                <c:pt idx="3">
                  <c:v>France</c:v>
                </c:pt>
                <c:pt idx="4">
                  <c:v>Israel</c:v>
                </c:pt>
                <c:pt idx="5">
                  <c:v>Viet Nam</c:v>
                </c:pt>
                <c:pt idx="6">
                  <c:v>Taipei, Chinese</c:v>
                </c:pt>
                <c:pt idx="7">
                  <c:v>United Kingdom</c:v>
                </c:pt>
                <c:pt idx="8">
                  <c:v>Belgium</c:v>
                </c:pt>
                <c:pt idx="9">
                  <c:v>Austria</c:v>
                </c:pt>
              </c:strCache>
            </c:strRef>
          </c:cat>
          <c:val>
            <c:numRef>
              <c:f>'Pinot Ph 1'!$I$4:$I$14</c:f>
              <c:numCache>
                <c:formatCode>General</c:formatCode>
                <c:ptCount val="10"/>
                <c:pt idx="0">
                  <c:v>91361</c:v>
                </c:pt>
                <c:pt idx="1">
                  <c:v>54248</c:v>
                </c:pt>
                <c:pt idx="2">
                  <c:v>50769</c:v>
                </c:pt>
                <c:pt idx="3">
                  <c:v>41958</c:v>
                </c:pt>
                <c:pt idx="4">
                  <c:v>38792</c:v>
                </c:pt>
                <c:pt idx="5">
                  <c:v>34586</c:v>
                </c:pt>
                <c:pt idx="6">
                  <c:v>33727</c:v>
                </c:pt>
                <c:pt idx="7">
                  <c:v>33184</c:v>
                </c:pt>
                <c:pt idx="8">
                  <c:v>27445</c:v>
                </c:pt>
                <c:pt idx="9">
                  <c:v>26701</c:v>
                </c:pt>
              </c:numCache>
            </c:numRef>
          </c:val>
          <c:extLst>
            <c:ext xmlns:c16="http://schemas.microsoft.com/office/drawing/2014/chart" uri="{C3380CC4-5D6E-409C-BE32-E72D297353CC}">
              <c16:uniqueId val="{00000000-CA55-4C13-B30C-FDC6DCF2DB0F}"/>
            </c:ext>
          </c:extLst>
        </c:ser>
        <c:dLbls>
          <c:dLblPos val="inEnd"/>
          <c:showLegendKey val="0"/>
          <c:showVal val="1"/>
          <c:showCatName val="0"/>
          <c:showSerName val="0"/>
          <c:showPercent val="0"/>
          <c:showBubbleSize val="0"/>
        </c:dLbls>
        <c:gapWidth val="150"/>
        <c:overlap val="100"/>
        <c:axId val="1992676095"/>
        <c:axId val="1992678495"/>
      </c:barChart>
      <c:catAx>
        <c:axId val="19926760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678495"/>
        <c:crosses val="autoZero"/>
        <c:auto val="1"/>
        <c:lblAlgn val="ctr"/>
        <c:lblOffset val="100"/>
        <c:noMultiLvlLbl val="0"/>
      </c:catAx>
      <c:valAx>
        <c:axId val="1992678495"/>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676095"/>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[last version1.xlsx]Pinot Ph 1!PivotTable4</c:name>
    <c:fmtId val="1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19050" cap="rnd">
            <a:solidFill>
              <a:srgbClr val="385F7C"/>
            </a:solidFill>
            <a:prstDash val="sysDot"/>
            <a:round/>
          </a:ln>
          <a:effectLst>
            <a:outerShdw blurRad="57150" dist="19050" dir="5400000" algn="ctr" rotWithShape="0">
              <a:srgbClr val="000000">
                <a:alpha val="63000"/>
              </a:srgbClr>
            </a:outerShdw>
          </a:effectLst>
        </c:spPr>
        <c:marker>
          <c:symbol val="circle"/>
          <c:size val="6"/>
          <c:spPr>
            <a:solidFill>
              <a:srgbClr val="385F7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06768526998234E-2"/>
          <c:y val="0.18300925925925926"/>
          <c:w val="0.96909323147300175"/>
          <c:h val="0.70959135316418775"/>
        </c:manualLayout>
      </c:layout>
      <c:lineChart>
        <c:grouping val="standard"/>
        <c:varyColors val="0"/>
        <c:ser>
          <c:idx val="0"/>
          <c:order val="0"/>
          <c:tx>
            <c:strRef>
              <c:f>'Pinot Ph 1'!$I$35</c:f>
              <c:strCache>
                <c:ptCount val="1"/>
                <c:pt idx="0">
                  <c:v>Total</c:v>
                </c:pt>
              </c:strCache>
            </c:strRef>
          </c:tx>
          <c:spPr>
            <a:ln w="19050" cap="rnd">
              <a:solidFill>
                <a:srgbClr val="385F7C"/>
              </a:solidFill>
              <a:prstDash val="sysDot"/>
              <a:round/>
            </a:ln>
            <a:effectLst>
              <a:outerShdw blurRad="57150" dist="19050" dir="5400000" algn="ctr" rotWithShape="0">
                <a:srgbClr val="000000">
                  <a:alpha val="63000"/>
                </a:srgbClr>
              </a:outerShdw>
            </a:effectLst>
          </c:spPr>
          <c:marker>
            <c:symbol val="circle"/>
            <c:size val="6"/>
            <c:spPr>
              <a:solidFill>
                <a:srgbClr val="385F7C"/>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'Pinot Ph 1'!$H$36:$H$45</c:f>
              <c:strCache>
                <c:ptCount val="9"/>
                <c:pt idx="0">
                  <c:v>Oceania</c:v>
                </c:pt>
                <c:pt idx="1">
                  <c:v>South America</c:v>
                </c:pt>
                <c:pt idx="2">
                  <c:v>Africa</c:v>
                </c:pt>
                <c:pt idx="3">
                  <c:v>South Asia</c:v>
                </c:pt>
                <c:pt idx="4">
                  <c:v>Southeast Asia</c:v>
                </c:pt>
                <c:pt idx="5">
                  <c:v>Europe</c:v>
                </c:pt>
                <c:pt idx="6">
                  <c:v>Middle East</c:v>
                </c:pt>
                <c:pt idx="7">
                  <c:v>North America</c:v>
                </c:pt>
                <c:pt idx="8">
                  <c:v>East Asia</c:v>
                </c:pt>
              </c:strCache>
            </c:strRef>
          </c:cat>
          <c:val>
            <c:numRef>
              <c:f>'Pinot Ph 1'!$I$36:$I$45</c:f>
              <c:numCache>
                <c:formatCode>0.0</c:formatCode>
                <c:ptCount val="9"/>
                <c:pt idx="0">
                  <c:v>21.666666666666668</c:v>
                </c:pt>
                <c:pt idx="1">
                  <c:v>14.416666666666666</c:v>
                </c:pt>
                <c:pt idx="2">
                  <c:v>13.953488372093023</c:v>
                </c:pt>
                <c:pt idx="3">
                  <c:v>10.692307692307692</c:v>
                </c:pt>
                <c:pt idx="4">
                  <c:v>9.4</c:v>
                </c:pt>
                <c:pt idx="5">
                  <c:v>8.6428571428571423</c:v>
                </c:pt>
                <c:pt idx="6">
                  <c:v>7.6</c:v>
                </c:pt>
                <c:pt idx="7">
                  <c:v>4.3181818181818183</c:v>
                </c:pt>
                <c:pt idx="8">
                  <c:v>2.7142857142857144</c:v>
                </c:pt>
              </c:numCache>
            </c:numRef>
          </c:val>
          <c:smooth val="1"/>
          <c:extLst>
            <c:ext xmlns:c16="http://schemas.microsoft.com/office/drawing/2014/chart" uri="{C3380CC4-5D6E-409C-BE32-E72D297353CC}">
              <c16:uniqueId val="{00000000-1F36-48B3-BBF6-6070606F5C26}"/>
            </c:ext>
          </c:extLst>
        </c:ser>
        <c:dLbls>
          <c:dLblPos val="t"/>
          <c:showLegendKey val="0"/>
          <c:showVal val="1"/>
          <c:showCatName val="0"/>
          <c:showSerName val="0"/>
          <c:showPercent val="0"/>
          <c:showBubbleSize val="0"/>
        </c:dLbls>
        <c:marker val="1"/>
        <c:smooth val="0"/>
        <c:axId val="452179887"/>
        <c:axId val="452174127"/>
      </c:lineChart>
      <c:catAx>
        <c:axId val="452179887"/>
        <c:scaling>
          <c:orientation val="minMax"/>
        </c:scaling>
        <c:delete val="0"/>
        <c:axPos val="b"/>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174127"/>
        <c:crosses val="autoZero"/>
        <c:auto val="1"/>
        <c:lblAlgn val="ctr"/>
        <c:lblOffset val="100"/>
        <c:noMultiLvlLbl val="0"/>
      </c:catAx>
      <c:valAx>
        <c:axId val="452174127"/>
        <c:scaling>
          <c:orientation val="minMax"/>
        </c:scaling>
        <c:delete val="1"/>
        <c:axPos val="l"/>
        <c:numFmt formatCode="0.0" sourceLinked="1"/>
        <c:majorTickMark val="out"/>
        <c:minorTickMark val="none"/>
        <c:tickLblPos val="nextTo"/>
        <c:crossAx val="45217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ys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[last version1.xlsx]Pinot Ph 1!PivotTable5</c:name>
    <c:fmtId val="14"/>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'Pinot Ph 1'!$I$49</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'Pinot Ph 1'!$H$50:$H$59</c:f>
              <c:strCache>
                <c:ptCount val="9"/>
                <c:pt idx="0">
                  <c:v>Africa</c:v>
                </c:pt>
                <c:pt idx="1">
                  <c:v>East Asia</c:v>
                </c:pt>
                <c:pt idx="2">
                  <c:v>Europe</c:v>
                </c:pt>
                <c:pt idx="3">
                  <c:v>Middle East</c:v>
                </c:pt>
                <c:pt idx="4">
                  <c:v>North America</c:v>
                </c:pt>
                <c:pt idx="5">
                  <c:v>Oceania</c:v>
                </c:pt>
                <c:pt idx="6">
                  <c:v>South America</c:v>
                </c:pt>
                <c:pt idx="7">
                  <c:v>South Asia</c:v>
                </c:pt>
                <c:pt idx="8">
                  <c:v>Southeast Asia</c:v>
                </c:pt>
              </c:strCache>
            </c:strRef>
          </c:cat>
          <c:val>
            <c:numRef>
              <c:f>'Pinot Ph 1'!$I$50:$I$59</c:f>
              <c:numCache>
                <c:formatCode>0.0</c:formatCode>
                <c:ptCount val="9"/>
                <c:pt idx="0">
                  <c:v>1076.7674418604652</c:v>
                </c:pt>
                <c:pt idx="1">
                  <c:v>8921</c:v>
                </c:pt>
                <c:pt idx="2">
                  <c:v>11608.738095238095</c:v>
                </c:pt>
                <c:pt idx="3">
                  <c:v>4892.3999999999996</c:v>
                </c:pt>
                <c:pt idx="4">
                  <c:v>4726.363636363636</c:v>
                </c:pt>
                <c:pt idx="5">
                  <c:v>2231.8333333333335</c:v>
                </c:pt>
                <c:pt idx="6">
                  <c:v>6929.333333333333</c:v>
                </c:pt>
                <c:pt idx="7">
                  <c:v>2951.1538461538462</c:v>
                </c:pt>
                <c:pt idx="8">
                  <c:v>11092.6</c:v>
                </c:pt>
              </c:numCache>
            </c:numRef>
          </c:val>
          <c:extLst>
            <c:ext xmlns:c16="http://schemas.microsoft.com/office/drawing/2014/chart" uri="{C3380CC4-5D6E-409C-BE32-E72D297353CC}">
              <c16:uniqueId val="{00000000-1E19-41EC-8C64-A8AC8CBADF0E}"/>
            </c:ext>
          </c:extLst>
        </c:ser>
        <c:dLbls>
          <c:dLblPos val="outEnd"/>
          <c:showLegendKey val="0"/>
          <c:showVal val="1"/>
          <c:showCatName val="0"/>
          <c:showSerName val="0"/>
          <c:showPercent val="0"/>
          <c:showBubbleSize val="0"/>
        </c:dLbls>
        <c:gapWidth val="100"/>
        <c:overlap val="-24"/>
        <c:axId val="949502992"/>
        <c:axId val="949503952"/>
      </c:barChart>
      <c:catAx>
        <c:axId val="9495029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949503952"/>
        <c:crosses val="autoZero"/>
        <c:auto val="1"/>
        <c:lblAlgn val="ctr"/>
        <c:lblOffset val="100"/>
        <c:noMultiLvlLbl val="0"/>
      </c:catAx>
      <c:valAx>
        <c:axId val="949503952"/>
        <c:scaling>
          <c:orientation val="minMax"/>
        </c:scaling>
        <c:delete val="1"/>
        <c:axPos val="l"/>
        <c:numFmt formatCode="0.0" sourceLinked="1"/>
        <c:majorTickMark val="none"/>
        <c:minorTickMark val="none"/>
        <c:tickLblPos val="nextTo"/>
        <c:crossAx val="94950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[last version1.xlsx]Pinot Ph 1!PivotTable6</c:name>
    <c:fmtId val="23"/>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1"/>
          <c:showBubbleSize val="0"/>
          <c:extLst>
            <c:ext xmlns:c15="http://schemas.microsoft.com/office/drawing/2012/chart" uri="{CE6537A1-D6FC-4f65-9D91-7224C49458BB}"/>
          </c:extLst>
        </c:dLbl>
      </c:pivotFmt>
      <c:pivotFmt>
        <c:idx val="5"/>
        <c:dLbl>
          <c:idx val="0"/>
          <c:showLegendKey val="0"/>
          <c:showVal val="1"/>
          <c:showCatName val="0"/>
          <c:showSerName val="0"/>
          <c:showPercent val="1"/>
          <c:showBubbleSize val="0"/>
          <c:extLst>
            <c:ext xmlns:c15="http://schemas.microsoft.com/office/drawing/2012/chart" uri="{CE6537A1-D6FC-4f65-9D91-7224C49458BB}"/>
          </c:extLst>
        </c:dLbl>
      </c:pivotFmt>
      <c:pivotFmt>
        <c:idx val="6"/>
        <c:dLbl>
          <c:idx val="0"/>
          <c:layout>
            <c:manualLayout>
              <c:x val="0.12817639774683071"/>
              <c:y val="-3.31978408333443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1.0463379407904547E-2"/>
              <c:y val="0.11382116857146592"/>
            </c:manualLayout>
          </c:layout>
          <c:showLegendKey val="0"/>
          <c:showVal val="1"/>
          <c:showCatName val="0"/>
          <c:showSerName val="0"/>
          <c:showPercent val="1"/>
          <c:showBubbleSize val="0"/>
          <c:extLst>
            <c:ext xmlns:c15="http://schemas.microsoft.com/office/drawing/2012/chart" uri="{CE6537A1-D6FC-4f65-9D91-7224C49458BB}"/>
          </c:extLst>
        </c:dLbl>
      </c:pivotFmt>
      <c:pivotFmt>
        <c:idx val="8"/>
        <c:dLbl>
          <c:idx val="0"/>
          <c:layout>
            <c:manualLayout>
              <c:x val="0.17002991537844889"/>
              <c:y val="0.12804881464289897"/>
            </c:manualLayout>
          </c:layout>
          <c:showLegendKey val="0"/>
          <c:showVal val="1"/>
          <c:showCatName val="0"/>
          <c:showSerName val="0"/>
          <c:showPercent val="1"/>
          <c:showBubbleSize val="0"/>
          <c:extLst>
            <c:ext xmlns:c15="http://schemas.microsoft.com/office/drawing/2012/chart" uri="{CE6537A1-D6FC-4f65-9D91-7224C49458BB}"/>
          </c:extLst>
        </c:dLbl>
      </c:pivotFmt>
      <c:pivotFmt>
        <c:idx val="9"/>
        <c:dLbl>
          <c:idx val="0"/>
          <c:layout>
            <c:manualLayout>
              <c:x val="0.11248132863497379"/>
              <c:y val="0.18021685023815437"/>
            </c:manualLayout>
          </c:layout>
          <c:showLegendKey val="0"/>
          <c:showVal val="1"/>
          <c:showCatName val="0"/>
          <c:showSerName val="0"/>
          <c:showPercent val="1"/>
          <c:showBubbleSize val="0"/>
          <c:extLst>
            <c:ext xmlns:c15="http://schemas.microsoft.com/office/drawing/2012/chart" uri="{CE6537A1-D6FC-4f65-9D91-7224C49458BB}"/>
          </c:extLst>
        </c:dLbl>
      </c:pivotFmt>
      <c:pivotFmt>
        <c:idx val="10"/>
        <c:dLbl>
          <c:idx val="0"/>
          <c:layout>
            <c:manualLayout>
              <c:x val="-0.16218238082252048"/>
              <c:y val="0.17073175285719888"/>
            </c:manualLayout>
          </c:layout>
          <c:showLegendKey val="0"/>
          <c:showVal val="1"/>
          <c:showCatName val="0"/>
          <c:showSerName val="0"/>
          <c:showPercent val="1"/>
          <c:showBubbleSize val="0"/>
          <c:extLst>
            <c:ext xmlns:c15="http://schemas.microsoft.com/office/drawing/2012/chart" uri="{CE6537A1-D6FC-4f65-9D91-7224C49458BB}"/>
          </c:extLst>
        </c:dLbl>
      </c:pivotFmt>
      <c:pivotFmt>
        <c:idx val="11"/>
        <c:dLbl>
          <c:idx val="0"/>
          <c:layout>
            <c:manualLayout>
              <c:x val="-0.14125562200671141"/>
              <c:y val="3.319784083334422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2"/>
        <c:dLbl>
          <c:idx val="0"/>
          <c:layout>
            <c:manualLayout>
              <c:x val="-0.10201794922706935"/>
              <c:y val="0"/>
            </c:manualLayout>
          </c:layout>
          <c:showLegendKey val="0"/>
          <c:showVal val="1"/>
          <c:showCatName val="0"/>
          <c:showSerName val="0"/>
          <c:showPercent val="1"/>
          <c:showBubbleSize val="0"/>
          <c:extLst>
            <c:ext xmlns:c15="http://schemas.microsoft.com/office/drawing/2012/chart" uri="{CE6537A1-D6FC-4f65-9D91-7224C49458BB}"/>
          </c:extLst>
        </c:dLbl>
      </c:pivotFmt>
      <c:pivotFmt>
        <c:idx val="13"/>
        <c:dLbl>
          <c:idx val="0"/>
          <c:layout>
            <c:manualLayout>
              <c:x val="-0.15956653597054435"/>
              <c:y val="8.536587642859944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4"/>
        <c:dLbl>
          <c:idx val="0"/>
          <c:layout>
            <c:manualLayout>
              <c:x val="-0.11771301833892617"/>
              <c:y val="4.7425486904777029E-3"/>
            </c:manualLayout>
          </c:layout>
          <c:showLegendKey val="0"/>
          <c:showVal val="1"/>
          <c:showCatName val="0"/>
          <c:showSerName val="0"/>
          <c:showPercent val="1"/>
          <c:showBubbleSize val="0"/>
          <c:extLst>
            <c:ext xmlns:c15="http://schemas.microsoft.com/office/drawing/2012/chart" uri="{CE6537A1-D6FC-4f65-9D91-7224C49458BB}"/>
          </c:extLst>
        </c:dLbl>
      </c:pivotFmt>
      <c:pivotFmt>
        <c:idx val="15"/>
        <c:dLbl>
          <c:idx val="0"/>
          <c:layout>
            <c:manualLayout>
              <c:x val="-0.15695069111856821"/>
              <c:y val="-2.371274345238873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6"/>
        <c:dLbl>
          <c:idx val="0"/>
          <c:layout>
            <c:manualLayout>
              <c:x val="-0.17264576023042505"/>
              <c:y val="-9.485097380955491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7"/>
        <c:dLbl>
          <c:idx val="0"/>
          <c:layout>
            <c:manualLayout>
              <c:x val="-2.3542603667785232E-2"/>
              <c:y val="-0.11382116857146592"/>
            </c:manualLayout>
          </c:layout>
          <c:showLegendKey val="0"/>
          <c:showVal val="1"/>
          <c:showCatName val="0"/>
          <c:showSerName val="0"/>
          <c:showPercent val="1"/>
          <c:showBubbleSize val="0"/>
          <c:extLst>
            <c:ext xmlns:c15="http://schemas.microsoft.com/office/drawing/2012/chart" uri="{CE6537A1-D6FC-4f65-9D91-7224C49458BB}"/>
          </c:extLst>
        </c:dLbl>
      </c:pivotFmt>
      <c:pivotFmt>
        <c:idx val="18"/>
        <c:dLbl>
          <c:idx val="0"/>
          <c:layout>
            <c:manualLayout>
              <c:x val="0.14387146685868754"/>
              <c:y val="-7.58807790476439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9"/>
        <c:dLbl>
          <c:idx val="0"/>
          <c:layout>
            <c:manualLayout>
              <c:x val="0.15695069111856821"/>
              <c:y val="-6.165313297621072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0"/>
        <c:dLbl>
          <c:idx val="0"/>
          <c:layout>
            <c:manualLayout>
              <c:x val="0.13340808745078298"/>
              <c:y val="-2.3712743452388777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1"/>
        <c:dLbl>
          <c:idx val="0"/>
          <c:layout>
            <c:manualLayout>
              <c:x val="0.15695069111856821"/>
              <c:y val="0.12330626595242132"/>
            </c:manualLayout>
          </c:layout>
          <c:showLegendKey val="0"/>
          <c:showVal val="1"/>
          <c:showCatName val="0"/>
          <c:showSerName val="0"/>
          <c:showPercent val="1"/>
          <c:showBubbleSize val="0"/>
          <c:extLst>
            <c:ext xmlns:c15="http://schemas.microsoft.com/office/drawing/2012/chart" uri="{CE6537A1-D6FC-4f65-9D91-7224C49458BB}"/>
          </c:extLst>
        </c:dLbl>
      </c:pivotFmt>
      <c:pivotFmt>
        <c:idx val="22"/>
        <c:dLbl>
          <c:idx val="0"/>
          <c:layout>
            <c:manualLayout>
              <c:x val="0.16479822567449653"/>
              <c:y val="0.14701900940481014"/>
            </c:manualLayout>
          </c:layout>
          <c:showLegendKey val="0"/>
          <c:showVal val="1"/>
          <c:showCatName val="0"/>
          <c:showSerName val="0"/>
          <c:showPercent val="1"/>
          <c:showBubbleSize val="0"/>
          <c:extLst>
            <c:ext xmlns:c15="http://schemas.microsoft.com/office/drawing/2012/chart" uri="{CE6537A1-D6FC-4f65-9D91-7224C49458BB}"/>
          </c:extLst>
        </c:dLbl>
      </c:pivotFmt>
      <c:pivotFmt>
        <c:idx val="23"/>
        <c:dLbl>
          <c:idx val="0"/>
          <c:layout>
            <c:manualLayout>
              <c:x val="8.6322880115212469E-2"/>
              <c:y val="0.18021685023815437"/>
            </c:manualLayout>
          </c:layout>
          <c:showLegendKey val="0"/>
          <c:showVal val="1"/>
          <c:showCatName val="0"/>
          <c:showSerName val="0"/>
          <c:showPercent val="1"/>
          <c:showBubbleSize val="0"/>
          <c:extLst>
            <c:ext xmlns:c15="http://schemas.microsoft.com/office/drawing/2012/chart" uri="{CE6537A1-D6FC-4f65-9D91-7224C49458BB}"/>
          </c:extLst>
        </c:dLbl>
      </c:pivotFmt>
      <c:pivotFmt>
        <c:idx val="24"/>
        <c:dLbl>
          <c:idx val="0"/>
          <c:showLegendKey val="0"/>
          <c:showVal val="1"/>
          <c:showCatName val="0"/>
          <c:showSerName val="0"/>
          <c:showPercent val="1"/>
          <c:showBubbleSize val="0"/>
          <c:extLst>
            <c:ext xmlns:c15="http://schemas.microsoft.com/office/drawing/2012/chart" uri="{CE6537A1-D6FC-4f65-9D91-7224C49458BB}"/>
          </c:extLst>
        </c:dLbl>
      </c:pivotFmt>
      <c:pivotFmt>
        <c:idx val="25"/>
        <c:dLbl>
          <c:idx val="0"/>
          <c:layout>
            <c:manualLayout>
              <c:x val="0.15695069111856821"/>
              <c:y val="-6.165313297621072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6"/>
        <c:dLbl>
          <c:idx val="0"/>
          <c:layout>
            <c:manualLayout>
              <c:x val="0.13340808745078298"/>
              <c:y val="-2.3712743452388777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7"/>
        <c:dLbl>
          <c:idx val="0"/>
          <c:layout>
            <c:manualLayout>
              <c:x val="0.16479822567449653"/>
              <c:y val="0.14701900940481014"/>
            </c:manualLayout>
          </c:layout>
          <c:showLegendKey val="0"/>
          <c:showVal val="1"/>
          <c:showCatName val="0"/>
          <c:showSerName val="0"/>
          <c:showPercent val="1"/>
          <c:showBubbleSize val="0"/>
          <c:extLst>
            <c:ext xmlns:c15="http://schemas.microsoft.com/office/drawing/2012/chart" uri="{CE6537A1-D6FC-4f65-9D91-7224C49458BB}"/>
          </c:extLst>
        </c:dLbl>
      </c:pivotFmt>
      <c:pivotFmt>
        <c:idx val="28"/>
        <c:dLbl>
          <c:idx val="0"/>
          <c:layout>
            <c:manualLayout>
              <c:x val="0.15695069111856821"/>
              <c:y val="0.12330626595242132"/>
            </c:manualLayout>
          </c:layout>
          <c:showLegendKey val="0"/>
          <c:showVal val="1"/>
          <c:showCatName val="0"/>
          <c:showSerName val="0"/>
          <c:showPercent val="1"/>
          <c:showBubbleSize val="0"/>
          <c:extLst>
            <c:ext xmlns:c15="http://schemas.microsoft.com/office/drawing/2012/chart" uri="{CE6537A1-D6FC-4f65-9D91-7224C49458BB}"/>
          </c:extLst>
        </c:dLbl>
      </c:pivotFmt>
      <c:pivotFmt>
        <c:idx val="29"/>
        <c:dLbl>
          <c:idx val="0"/>
          <c:layout>
            <c:manualLayout>
              <c:x val="0.17002991537844889"/>
              <c:y val="0.12804881464289897"/>
            </c:manualLayout>
          </c:layout>
          <c:showLegendKey val="0"/>
          <c:showVal val="1"/>
          <c:showCatName val="0"/>
          <c:showSerName val="0"/>
          <c:showPercent val="1"/>
          <c:showBubbleSize val="0"/>
          <c:extLst>
            <c:ext xmlns:c15="http://schemas.microsoft.com/office/drawing/2012/chart" uri="{CE6537A1-D6FC-4f65-9D91-7224C49458BB}"/>
          </c:extLst>
        </c:dLbl>
      </c:pivotFmt>
      <c:pivotFmt>
        <c:idx val="30"/>
        <c:dLbl>
          <c:idx val="0"/>
          <c:layout>
            <c:manualLayout>
              <c:x val="0.11248132863497379"/>
              <c:y val="0.18021685023815437"/>
            </c:manualLayout>
          </c:layout>
          <c:showLegendKey val="0"/>
          <c:showVal val="1"/>
          <c:showCatName val="0"/>
          <c:showSerName val="0"/>
          <c:showPercent val="1"/>
          <c:showBubbleSize val="0"/>
          <c:extLst>
            <c:ext xmlns:c15="http://schemas.microsoft.com/office/drawing/2012/chart" uri="{CE6537A1-D6FC-4f65-9D91-7224C49458BB}"/>
          </c:extLst>
        </c:dLbl>
      </c:pivotFmt>
      <c:pivotFmt>
        <c:idx val="31"/>
        <c:dLbl>
          <c:idx val="0"/>
          <c:layout>
            <c:manualLayout>
              <c:x val="-0.16218238082252048"/>
              <c:y val="0.17073175285719888"/>
            </c:manualLayout>
          </c:layout>
          <c:showLegendKey val="0"/>
          <c:showVal val="1"/>
          <c:showCatName val="0"/>
          <c:showSerName val="0"/>
          <c:showPercent val="1"/>
          <c:showBubbleSize val="0"/>
          <c:extLst>
            <c:ext xmlns:c15="http://schemas.microsoft.com/office/drawing/2012/chart" uri="{CE6537A1-D6FC-4f65-9D91-7224C49458BB}"/>
          </c:extLst>
        </c:dLbl>
      </c:pivotFmt>
      <c:pivotFmt>
        <c:idx val="32"/>
        <c:dLbl>
          <c:idx val="0"/>
          <c:layout>
            <c:manualLayout>
              <c:x val="-0.15956653597054435"/>
              <c:y val="8.536587642859944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33"/>
        <c:dLbl>
          <c:idx val="0"/>
          <c:layout>
            <c:manualLayout>
              <c:x val="8.6322880115212469E-2"/>
              <c:y val="0.18021685023815437"/>
            </c:manualLayout>
          </c:layout>
          <c:showLegendKey val="0"/>
          <c:showVal val="1"/>
          <c:showCatName val="0"/>
          <c:showSerName val="0"/>
          <c:showPercent val="1"/>
          <c:showBubbleSize val="0"/>
          <c:extLst>
            <c:ext xmlns:c15="http://schemas.microsoft.com/office/drawing/2012/chart" uri="{CE6537A1-D6FC-4f65-9D91-7224C49458BB}"/>
          </c:extLst>
        </c:dLbl>
      </c:pivotFmt>
      <c:pivotFmt>
        <c:idx val="34"/>
        <c:dLbl>
          <c:idx val="0"/>
          <c:showLegendKey val="0"/>
          <c:showVal val="1"/>
          <c:showCatName val="0"/>
          <c:showSerName val="0"/>
          <c:showPercent val="1"/>
          <c:showBubbleSize val="0"/>
          <c:extLst>
            <c:ext xmlns:c15="http://schemas.microsoft.com/office/drawing/2012/chart" uri="{CE6537A1-D6FC-4f65-9D91-7224C49458BB}"/>
          </c:extLst>
        </c:dLbl>
      </c:pivotFmt>
      <c:pivotFmt>
        <c:idx val="35"/>
        <c:dLbl>
          <c:idx val="0"/>
          <c:layout>
            <c:manualLayout>
              <c:x val="0.12817639774683071"/>
              <c:y val="-3.31978408333443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36"/>
        <c:dLbl>
          <c:idx val="0"/>
          <c:layout>
            <c:manualLayout>
              <c:x val="-1.0463379407904547E-2"/>
              <c:y val="0.11382116857146592"/>
            </c:manualLayout>
          </c:layout>
          <c:showLegendKey val="0"/>
          <c:showVal val="1"/>
          <c:showCatName val="0"/>
          <c:showSerName val="0"/>
          <c:showPercent val="1"/>
          <c:showBubbleSize val="0"/>
          <c:extLst>
            <c:ext xmlns:c15="http://schemas.microsoft.com/office/drawing/2012/chart" uri="{CE6537A1-D6FC-4f65-9D91-7224C49458BB}"/>
          </c:extLst>
        </c:dLbl>
      </c:pivotFmt>
      <c:pivotFmt>
        <c:idx val="37"/>
        <c:dLbl>
          <c:idx val="0"/>
          <c:layout>
            <c:manualLayout>
              <c:x val="-0.14125562200671141"/>
              <c:y val="3.319784083334422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38"/>
        <c:dLbl>
          <c:idx val="0"/>
          <c:layout>
            <c:manualLayout>
              <c:x val="-0.10201794922706935"/>
              <c:y val="0"/>
            </c:manualLayout>
          </c:layout>
          <c:showLegendKey val="0"/>
          <c:showVal val="1"/>
          <c:showCatName val="0"/>
          <c:showSerName val="0"/>
          <c:showPercent val="1"/>
          <c:showBubbleSize val="0"/>
          <c:extLst>
            <c:ext xmlns:c15="http://schemas.microsoft.com/office/drawing/2012/chart" uri="{CE6537A1-D6FC-4f65-9D91-7224C49458BB}"/>
          </c:extLst>
        </c:dLbl>
      </c:pivotFmt>
      <c:pivotFmt>
        <c:idx val="39"/>
        <c:dLbl>
          <c:idx val="0"/>
          <c:layout>
            <c:manualLayout>
              <c:x val="-0.11771301833892617"/>
              <c:y val="4.7425486904777029E-3"/>
            </c:manualLayout>
          </c:layout>
          <c:showLegendKey val="0"/>
          <c:showVal val="1"/>
          <c:showCatName val="0"/>
          <c:showSerName val="0"/>
          <c:showPercent val="1"/>
          <c:showBubbleSize val="0"/>
          <c:extLst>
            <c:ext xmlns:c15="http://schemas.microsoft.com/office/drawing/2012/chart" uri="{CE6537A1-D6FC-4f65-9D91-7224C49458BB}"/>
          </c:extLst>
        </c:dLbl>
      </c:pivotFmt>
      <c:pivotFmt>
        <c:idx val="40"/>
        <c:dLbl>
          <c:idx val="0"/>
          <c:layout>
            <c:manualLayout>
              <c:x val="-0.15695069111856821"/>
              <c:y val="-2.371274345238873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41"/>
        <c:dLbl>
          <c:idx val="0"/>
          <c:layout>
            <c:manualLayout>
              <c:x val="-0.17264576023042505"/>
              <c:y val="-9.485097380955491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42"/>
        <c:dLbl>
          <c:idx val="0"/>
          <c:layout>
            <c:manualLayout>
              <c:x val="-2.3542603667785232E-2"/>
              <c:y val="-0.11382116857146592"/>
            </c:manualLayout>
          </c:layout>
          <c:showLegendKey val="0"/>
          <c:showVal val="1"/>
          <c:showCatName val="0"/>
          <c:showSerName val="0"/>
          <c:showPercent val="1"/>
          <c:showBubbleSize val="0"/>
          <c:extLst>
            <c:ext xmlns:c15="http://schemas.microsoft.com/office/drawing/2012/chart" uri="{CE6537A1-D6FC-4f65-9D91-7224C49458BB}"/>
          </c:extLst>
        </c:dLbl>
      </c:pivotFmt>
      <c:pivotFmt>
        <c:idx val="43"/>
        <c:dLbl>
          <c:idx val="0"/>
          <c:layout>
            <c:manualLayout>
              <c:x val="0.14387146685868754"/>
              <c:y val="-7.58807790476439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4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46"/>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47"/>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48"/>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49"/>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50"/>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51"/>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52"/>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53"/>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549037428263406E-2"/>
              <c:y val="0"/>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31287942524282E-2"/>
          <c:y val="6.4264919760371575E-2"/>
          <c:w val="0.93903902466334055"/>
          <c:h val="0.80691517667423973"/>
        </c:manualLayout>
      </c:layout>
      <c:barChart>
        <c:barDir val="bar"/>
        <c:grouping val="clustered"/>
        <c:varyColors val="0"/>
        <c:ser>
          <c:idx val="1"/>
          <c:order val="1"/>
          <c:tx>
            <c:strRef>
              <c:f>'Pinot Ph 1'!$J$64</c:f>
              <c:strCache>
                <c:ptCount val="1"/>
                <c:pt idx="0">
                  <c:v>Sum of Value imported in 2024 (USD thousand)</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14-7FEF-4E38-AA42-2DA2D43065D9}"/>
              </c:ext>
            </c:extLst>
          </c:dPt>
          <c:dPt>
            <c:idx val="1"/>
            <c:invertIfNegative val="0"/>
            <c:bubble3D val="0"/>
            <c:extLst>
              <c:ext xmlns:c16="http://schemas.microsoft.com/office/drawing/2014/chart" uri="{C3380CC4-5D6E-409C-BE32-E72D297353CC}">
                <c16:uniqueId val="{00000016-7FEF-4E38-AA42-2DA2D43065D9}"/>
              </c:ext>
            </c:extLst>
          </c:dPt>
          <c:dPt>
            <c:idx val="2"/>
            <c:invertIfNegative val="0"/>
            <c:bubble3D val="0"/>
            <c:extLst>
              <c:ext xmlns:c16="http://schemas.microsoft.com/office/drawing/2014/chart" uri="{C3380CC4-5D6E-409C-BE32-E72D297353CC}">
                <c16:uniqueId val="{00000018-7FEF-4E38-AA42-2DA2D43065D9}"/>
              </c:ext>
            </c:extLst>
          </c:dPt>
          <c:dPt>
            <c:idx val="3"/>
            <c:invertIfNegative val="0"/>
            <c:bubble3D val="0"/>
            <c:extLst>
              <c:ext xmlns:c16="http://schemas.microsoft.com/office/drawing/2014/chart" uri="{C3380CC4-5D6E-409C-BE32-E72D297353CC}">
                <c16:uniqueId val="{0000001A-7FEF-4E38-AA42-2DA2D43065D9}"/>
              </c:ext>
            </c:extLst>
          </c:dPt>
          <c:dPt>
            <c:idx val="4"/>
            <c:invertIfNegative val="0"/>
            <c:bubble3D val="0"/>
            <c:extLst>
              <c:ext xmlns:c16="http://schemas.microsoft.com/office/drawing/2014/chart" uri="{C3380CC4-5D6E-409C-BE32-E72D297353CC}">
                <c16:uniqueId val="{0000001C-7FEF-4E38-AA42-2DA2D43065D9}"/>
              </c:ext>
            </c:extLst>
          </c:dPt>
          <c:dPt>
            <c:idx val="5"/>
            <c:invertIfNegative val="0"/>
            <c:bubble3D val="0"/>
            <c:extLst>
              <c:ext xmlns:c16="http://schemas.microsoft.com/office/drawing/2014/chart" uri="{C3380CC4-5D6E-409C-BE32-E72D297353CC}">
                <c16:uniqueId val="{0000001E-7FEF-4E38-AA42-2DA2D43065D9}"/>
              </c:ext>
            </c:extLst>
          </c:dPt>
          <c:dPt>
            <c:idx val="6"/>
            <c:invertIfNegative val="0"/>
            <c:bubble3D val="0"/>
            <c:extLst>
              <c:ext xmlns:c16="http://schemas.microsoft.com/office/drawing/2014/chart" uri="{C3380CC4-5D6E-409C-BE32-E72D297353CC}">
                <c16:uniqueId val="{00000020-7FEF-4E38-AA42-2DA2D43065D9}"/>
              </c:ext>
            </c:extLst>
          </c:dPt>
          <c:dPt>
            <c:idx val="7"/>
            <c:invertIfNegative val="0"/>
            <c:bubble3D val="0"/>
            <c:extLst>
              <c:ext xmlns:c16="http://schemas.microsoft.com/office/drawing/2014/chart" uri="{C3380CC4-5D6E-409C-BE32-E72D297353CC}">
                <c16:uniqueId val="{00000022-7FEF-4E38-AA42-2DA2D43065D9}"/>
              </c:ext>
            </c:extLst>
          </c:dPt>
          <c:dPt>
            <c:idx val="8"/>
            <c:invertIfNegative val="0"/>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7FEF-4E38-AA42-2DA2D43065D9}"/>
              </c:ext>
            </c:extLst>
          </c:dPt>
          <c:dLbls>
            <c:dLbl>
              <c:idx val="8"/>
              <c:layout>
                <c:manualLayout>
                  <c:x val="-1.6549037428263406E-2"/>
                  <c:y val="0"/>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7FEF-4E38-AA42-2DA2D43065D9}"/>
                </c:ext>
              </c:extLst>
            </c:dLbl>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'Pinot Ph 1'!$H$65:$H$74</c:f>
              <c:strCache>
                <c:ptCount val="9"/>
                <c:pt idx="0">
                  <c:v>Europe</c:v>
                </c:pt>
                <c:pt idx="1">
                  <c:v>Southeast Asia</c:v>
                </c:pt>
                <c:pt idx="2">
                  <c:v>North America</c:v>
                </c:pt>
                <c:pt idx="3">
                  <c:v>South America</c:v>
                </c:pt>
                <c:pt idx="4">
                  <c:v>Middle East</c:v>
                </c:pt>
                <c:pt idx="5">
                  <c:v>East Asia</c:v>
                </c:pt>
                <c:pt idx="6">
                  <c:v>Africa</c:v>
                </c:pt>
                <c:pt idx="7">
                  <c:v>South Asia</c:v>
                </c:pt>
                <c:pt idx="8">
                  <c:v>Oceania</c:v>
                </c:pt>
              </c:strCache>
            </c:strRef>
          </c:cat>
          <c:val>
            <c:numRef>
              <c:f>'Pinot Ph 1'!$J$65:$J$74</c:f>
              <c:numCache>
                <c:formatCode>0.0</c:formatCode>
                <c:ptCount val="9"/>
                <c:pt idx="0">
                  <c:v>487567</c:v>
                </c:pt>
                <c:pt idx="1">
                  <c:v>110926</c:v>
                </c:pt>
                <c:pt idx="2">
                  <c:v>103980</c:v>
                </c:pt>
                <c:pt idx="3">
                  <c:v>83152</c:v>
                </c:pt>
                <c:pt idx="4">
                  <c:v>73386</c:v>
                </c:pt>
                <c:pt idx="5">
                  <c:v>62447</c:v>
                </c:pt>
                <c:pt idx="6">
                  <c:v>46301</c:v>
                </c:pt>
                <c:pt idx="7">
                  <c:v>38365</c:v>
                </c:pt>
                <c:pt idx="8">
                  <c:v>13391</c:v>
                </c:pt>
              </c:numCache>
            </c:numRef>
          </c:val>
          <c:extLst>
            <c:ext xmlns:c16="http://schemas.microsoft.com/office/drawing/2014/chart" uri="{C3380CC4-5D6E-409C-BE32-E72D297353CC}">
              <c16:uniqueId val="{00000025-7FEF-4E38-AA42-2DA2D43065D9}"/>
            </c:ext>
          </c:extLst>
        </c:ser>
        <c:dLbls>
          <c:showLegendKey val="0"/>
          <c:showVal val="1"/>
          <c:showCatName val="0"/>
          <c:showSerName val="0"/>
          <c:showPercent val="0"/>
          <c:showBubbleSize val="0"/>
        </c:dLbls>
        <c:gapWidth val="100"/>
        <c:axId val="1721941951"/>
        <c:axId val="1562457807"/>
      </c:barChart>
      <c:lineChart>
        <c:grouping val="standard"/>
        <c:varyColors val="0"/>
        <c:ser>
          <c:idx val="0"/>
          <c:order val="0"/>
          <c:tx>
            <c:strRef>
              <c:f>'Pinot Ph 1'!$I$64</c:f>
              <c:strCache>
                <c:ptCount val="1"/>
                <c:pt idx="0">
                  <c:v>Average of Annual growth in value between 2020-2024 (%)</c:v>
                </c:pt>
              </c:strCache>
            </c:strRef>
          </c:tx>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EF-4E38-AA42-2DA2D43065D9}"/>
              </c:ext>
            </c:extLst>
          </c:dPt>
          <c:dPt>
            <c:idx val="1"/>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EF-4E38-AA42-2DA2D43065D9}"/>
              </c:ext>
            </c:extLst>
          </c:dPt>
          <c:dPt>
            <c:idx val="2"/>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FEF-4E38-AA42-2DA2D43065D9}"/>
              </c:ext>
            </c:extLst>
          </c:dPt>
          <c:dPt>
            <c:idx val="3"/>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FEF-4E38-AA42-2DA2D43065D9}"/>
              </c:ext>
            </c:extLst>
          </c:dPt>
          <c:dPt>
            <c:idx val="4"/>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FEF-4E38-AA42-2DA2D43065D9}"/>
              </c:ext>
            </c:extLst>
          </c:dPt>
          <c:dPt>
            <c:idx val="5"/>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FEF-4E38-AA42-2DA2D43065D9}"/>
              </c:ext>
            </c:extLst>
          </c:dPt>
          <c:dPt>
            <c:idx val="6"/>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FEF-4E38-AA42-2DA2D43065D9}"/>
              </c:ext>
            </c:extLst>
          </c:dPt>
          <c:dPt>
            <c:idx val="7"/>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FEF-4E38-AA42-2DA2D43065D9}"/>
              </c:ext>
            </c:extLst>
          </c:dPt>
          <c:dPt>
            <c:idx val="8"/>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FEF-4E38-AA42-2DA2D43065D9}"/>
              </c:ext>
            </c:extLst>
          </c:dPt>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'Pinot Ph 1'!$H$65:$H$74</c:f>
              <c:strCache>
                <c:ptCount val="9"/>
                <c:pt idx="0">
                  <c:v>Europe</c:v>
                </c:pt>
                <c:pt idx="1">
                  <c:v>Southeast Asia</c:v>
                </c:pt>
                <c:pt idx="2">
                  <c:v>North America</c:v>
                </c:pt>
                <c:pt idx="3">
                  <c:v>South America</c:v>
                </c:pt>
                <c:pt idx="4">
                  <c:v>Middle East</c:v>
                </c:pt>
                <c:pt idx="5">
                  <c:v>East Asia</c:v>
                </c:pt>
                <c:pt idx="6">
                  <c:v>Africa</c:v>
                </c:pt>
                <c:pt idx="7">
                  <c:v>South Asia</c:v>
                </c:pt>
                <c:pt idx="8">
                  <c:v>Oceania</c:v>
                </c:pt>
              </c:strCache>
            </c:strRef>
          </c:cat>
          <c:val>
            <c:numRef>
              <c:f>'Pinot Ph 1'!$I$65:$I$74</c:f>
              <c:numCache>
                <c:formatCode>0.0</c:formatCode>
                <c:ptCount val="9"/>
                <c:pt idx="0">
                  <c:v>8.6428571428571423</c:v>
                </c:pt>
                <c:pt idx="1">
                  <c:v>9.4</c:v>
                </c:pt>
                <c:pt idx="2">
                  <c:v>4.3181818181818183</c:v>
                </c:pt>
                <c:pt idx="3">
                  <c:v>14.416666666666666</c:v>
                </c:pt>
                <c:pt idx="4">
                  <c:v>7.6</c:v>
                </c:pt>
                <c:pt idx="5">
                  <c:v>2.7142857142857144</c:v>
                </c:pt>
                <c:pt idx="6">
                  <c:v>13.953488372093023</c:v>
                </c:pt>
                <c:pt idx="7">
                  <c:v>10.692307692307692</c:v>
                </c:pt>
                <c:pt idx="8">
                  <c:v>21.666666666666668</c:v>
                </c:pt>
              </c:numCache>
            </c:numRef>
          </c:val>
          <c:smooth val="0"/>
          <c:extLst>
            <c:ext xmlns:c16="http://schemas.microsoft.com/office/drawing/2014/chart" uri="{C3380CC4-5D6E-409C-BE32-E72D297353CC}">
              <c16:uniqueId val="{00000012-7FEF-4E38-AA42-2DA2D43065D9}"/>
            </c:ext>
          </c:extLst>
        </c:ser>
        <c:dLbls>
          <c:showLegendKey val="0"/>
          <c:showVal val="1"/>
          <c:showCatName val="0"/>
          <c:showSerName val="0"/>
          <c:showPercent val="0"/>
          <c:showBubbleSize val="0"/>
        </c:dLbls>
        <c:marker val="1"/>
        <c:smooth val="0"/>
        <c:axId val="1721938239"/>
        <c:axId val="1562457327"/>
      </c:lineChart>
      <c:catAx>
        <c:axId val="17219382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1562457327"/>
        <c:crosses val="autoZero"/>
        <c:auto val="1"/>
        <c:lblAlgn val="ctr"/>
        <c:lblOffset val="100"/>
        <c:noMultiLvlLbl val="0"/>
      </c:catAx>
      <c:valAx>
        <c:axId val="1562457327"/>
        <c:scaling>
          <c:orientation val="minMax"/>
        </c:scaling>
        <c:delete val="1"/>
        <c:axPos val="l"/>
        <c:numFmt formatCode="0.0" sourceLinked="1"/>
        <c:majorTickMark val="none"/>
        <c:minorTickMark val="none"/>
        <c:tickLblPos val="nextTo"/>
        <c:crossAx val="1721938239"/>
        <c:crosses val="autoZero"/>
        <c:crossBetween val="between"/>
      </c:valAx>
      <c:valAx>
        <c:axId val="1562457807"/>
        <c:scaling>
          <c:orientation val="minMax"/>
        </c:scaling>
        <c:delete val="1"/>
        <c:axPos val="t"/>
        <c:numFmt formatCode="0.0" sourceLinked="1"/>
        <c:majorTickMark val="none"/>
        <c:minorTickMark val="none"/>
        <c:tickLblPos val="nextTo"/>
        <c:crossAx val="1721941951"/>
        <c:crosses val="max"/>
        <c:crossBetween val="between"/>
      </c:valAx>
      <c:catAx>
        <c:axId val="1721941951"/>
        <c:scaling>
          <c:orientation val="minMax"/>
        </c:scaling>
        <c:delete val="1"/>
        <c:axPos val="l"/>
        <c:numFmt formatCode="General" sourceLinked="1"/>
        <c:majorTickMark val="none"/>
        <c:minorTickMark val="none"/>
        <c:tickLblPos val="nextTo"/>
        <c:crossAx val="156245780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version1.xlsx]Pinot Ph 1!PivotTable3</c:name>
    <c:fmtId val="7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69953674491848"/>
          <c:y val="6.3049005428393409E-2"/>
          <c:w val="0.81830046325508154"/>
          <c:h val="0.88163947249990571"/>
        </c:manualLayout>
      </c:layout>
      <c:barChart>
        <c:barDir val="bar"/>
        <c:grouping val="clustered"/>
        <c:varyColors val="0"/>
        <c:ser>
          <c:idx val="0"/>
          <c:order val="0"/>
          <c:tx>
            <c:strRef>
              <c:f>'Pinot Ph 1'!$I$19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'Pinot Ph 1'!$H$20:$H$31</c:f>
              <c:strCache>
                <c:ptCount val="11"/>
                <c:pt idx="0">
                  <c:v>Benin</c:v>
                </c:pt>
                <c:pt idx="1">
                  <c:v>Mauritania</c:v>
                </c:pt>
                <c:pt idx="2">
                  <c:v>Panama</c:v>
                </c:pt>
                <c:pt idx="3">
                  <c:v>Senegal</c:v>
                </c:pt>
                <c:pt idx="4">
                  <c:v>Namibia</c:v>
                </c:pt>
                <c:pt idx="5">
                  <c:v>Venezuela, Bolivarian Republic of</c:v>
                </c:pt>
                <c:pt idx="6">
                  <c:v>Cambodia</c:v>
                </c:pt>
                <c:pt idx="7">
                  <c:v>New Caledonia</c:v>
                </c:pt>
                <c:pt idx="8">
                  <c:v>Guyana</c:v>
                </c:pt>
                <c:pt idx="9">
                  <c:v>United Kingdom</c:v>
                </c:pt>
                <c:pt idx="10">
                  <c:v>Korea, Democratic People's Republic of</c:v>
                </c:pt>
              </c:strCache>
            </c:strRef>
          </c:cat>
          <c:val>
            <c:numRef>
              <c:f>'Pinot Ph 1'!$I$20:$I$31</c:f>
              <c:numCache>
                <c:formatCode>General</c:formatCode>
                <c:ptCount val="11"/>
                <c:pt idx="0">
                  <c:v>156</c:v>
                </c:pt>
                <c:pt idx="1">
                  <c:v>116</c:v>
                </c:pt>
                <c:pt idx="2">
                  <c:v>56</c:v>
                </c:pt>
                <c:pt idx="3">
                  <c:v>55</c:v>
                </c:pt>
                <c:pt idx="4">
                  <c:v>55</c:v>
                </c:pt>
                <c:pt idx="5">
                  <c:v>46</c:v>
                </c:pt>
                <c:pt idx="6">
                  <c:v>45</c:v>
                </c:pt>
                <c:pt idx="7">
                  <c:v>45</c:v>
                </c:pt>
                <c:pt idx="8">
                  <c:v>45</c:v>
                </c:pt>
                <c:pt idx="9">
                  <c:v>43</c:v>
                </c:pt>
                <c:pt idx="10">
                  <c:v>43</c:v>
                </c:pt>
              </c:numCache>
            </c:numRef>
          </c:val>
          <c:extLst>
            <c:ext xmlns:c16="http://schemas.microsoft.com/office/drawing/2014/chart" uri="{C3380CC4-5D6E-409C-BE32-E72D297353CC}">
              <c16:uniqueId val="{00000000-D3F0-4135-B200-A3E1686D4C43}"/>
            </c:ext>
          </c:extLst>
        </c:ser>
        <c:dLbls>
          <c:dLblPos val="outEnd"/>
          <c:showLegendKey val="0"/>
          <c:showVal val="1"/>
          <c:showCatName val="0"/>
          <c:showSerName val="0"/>
          <c:showPercent val="0"/>
          <c:showBubbleSize val="0"/>
        </c:dLbls>
        <c:gapWidth val="115"/>
        <c:overlap val="-20"/>
        <c:axId val="69893183"/>
        <c:axId val="1562444367"/>
      </c:barChart>
      <c:catAx>
        <c:axId val="698931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1562444367"/>
        <c:crosses val="autoZero"/>
        <c:auto val="1"/>
        <c:lblAlgn val="ctr"/>
        <c:lblOffset val="100"/>
        <c:noMultiLvlLbl val="0"/>
      </c:catAx>
      <c:valAx>
        <c:axId val="1562444367"/>
        <c:scaling>
          <c:orientation val="minMax"/>
        </c:scaling>
        <c:delete val="1"/>
        <c:axPos val="b"/>
        <c:numFmt formatCode="General" sourceLinked="1"/>
        <c:majorTickMark val="none"/>
        <c:minorTickMark val="none"/>
        <c:tickLblPos val="nextTo"/>
        <c:crossAx val="6989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[last version1.xlsx]Pinot Ph 1!PivotTable4</c:name>
    <c:fmtId val="43"/>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9050" cap="rnd">
            <a:solidFill>
              <a:srgbClr val="385F7C"/>
            </a:solidFill>
            <a:prstDash val="sysDot"/>
            <a:round/>
          </a:ln>
          <a:effectLst>
            <a:outerShdw blurRad="57150" dist="19050" dir="5400000" algn="ctr" rotWithShape="0">
              <a:srgbClr val="000000">
                <a:alpha val="63000"/>
              </a:srgbClr>
            </a:outerShdw>
          </a:effectLst>
        </c:spPr>
        <c:marker>
          <c:symbol val="circle"/>
          <c:size val="6"/>
          <c:spPr>
            <a:solidFill>
              <a:srgbClr val="385F7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a:solidFill>
              <a:srgbClr val="385F7C"/>
            </a:solidFill>
            <a:prstDash val="sysDot"/>
            <a:round/>
          </a:ln>
          <a:effectLst>
            <a:outerShdw blurRad="57150" dist="19050" dir="5400000" algn="ctr" rotWithShape="0">
              <a:srgbClr val="000000">
                <a:alpha val="63000"/>
              </a:srgbClr>
            </a:outerShdw>
          </a:effectLst>
        </c:spPr>
        <c:marker>
          <c:symbol val="circle"/>
          <c:size val="6"/>
          <c:spPr>
            <a:solidFill>
              <a:srgbClr val="385F7C"/>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6.9444444444444448E-2"/>
          <c:w val="0.93888888888888888"/>
          <c:h val="0.79081802274715662"/>
        </c:manualLayout>
      </c:layout>
      <c:lineChart>
        <c:grouping val="standard"/>
        <c:varyColors val="0"/>
        <c:ser>
          <c:idx val="0"/>
          <c:order val="0"/>
          <c:tx>
            <c:strRef>
              <c:f>'Pinot Ph 1'!$I$35</c:f>
              <c:strCache>
                <c:ptCount val="1"/>
                <c:pt idx="0">
                  <c:v>Total</c:v>
                </c:pt>
              </c:strCache>
            </c:strRef>
          </c:tx>
          <c:spPr>
            <a:ln w="19050" cap="rnd">
              <a:solidFill>
                <a:srgbClr val="385F7C"/>
              </a:solidFill>
              <a:prstDash val="sysDot"/>
              <a:round/>
            </a:ln>
            <a:effectLst>
              <a:outerShdw blurRad="57150" dist="19050" dir="5400000" algn="ctr" rotWithShape="0">
                <a:srgbClr val="000000">
                  <a:alpha val="63000"/>
                </a:srgbClr>
              </a:outerShdw>
            </a:effectLst>
          </c:spPr>
          <c:marker>
            <c:symbol val="circle"/>
            <c:size val="6"/>
            <c:spPr>
              <a:solidFill>
                <a:srgbClr val="385F7C"/>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'Pinot Ph 1'!$H$36:$H$45</c:f>
              <c:strCache>
                <c:ptCount val="9"/>
                <c:pt idx="0">
                  <c:v>Oceania</c:v>
                </c:pt>
                <c:pt idx="1">
                  <c:v>South America</c:v>
                </c:pt>
                <c:pt idx="2">
                  <c:v>Africa</c:v>
                </c:pt>
                <c:pt idx="3">
                  <c:v>South Asia</c:v>
                </c:pt>
                <c:pt idx="4">
                  <c:v>Southeast Asia</c:v>
                </c:pt>
                <c:pt idx="5">
                  <c:v>Europe</c:v>
                </c:pt>
                <c:pt idx="6">
                  <c:v>Middle East</c:v>
                </c:pt>
                <c:pt idx="7">
                  <c:v>North America</c:v>
                </c:pt>
                <c:pt idx="8">
                  <c:v>East Asia</c:v>
                </c:pt>
              </c:strCache>
            </c:strRef>
          </c:cat>
          <c:val>
            <c:numRef>
              <c:f>'Pinot Ph 1'!$I$36:$I$45</c:f>
              <c:numCache>
                <c:formatCode>0.0</c:formatCode>
                <c:ptCount val="9"/>
                <c:pt idx="0">
                  <c:v>21.666666666666668</c:v>
                </c:pt>
                <c:pt idx="1">
                  <c:v>14.416666666666666</c:v>
                </c:pt>
                <c:pt idx="2">
                  <c:v>13.953488372093023</c:v>
                </c:pt>
                <c:pt idx="3">
                  <c:v>10.692307692307692</c:v>
                </c:pt>
                <c:pt idx="4">
                  <c:v>9.4</c:v>
                </c:pt>
                <c:pt idx="5">
                  <c:v>8.6428571428571423</c:v>
                </c:pt>
                <c:pt idx="6">
                  <c:v>7.6</c:v>
                </c:pt>
                <c:pt idx="7">
                  <c:v>4.3181818181818183</c:v>
                </c:pt>
                <c:pt idx="8">
                  <c:v>2.7142857142857144</c:v>
                </c:pt>
              </c:numCache>
            </c:numRef>
          </c:val>
          <c:smooth val="1"/>
          <c:extLst>
            <c:ext xmlns:c16="http://schemas.microsoft.com/office/drawing/2014/chart" uri="{C3380CC4-5D6E-409C-BE32-E72D297353CC}">
              <c16:uniqueId val="{00000000-3F1C-48FA-8C8A-39015A3D6BCD}"/>
            </c:ext>
          </c:extLst>
        </c:ser>
        <c:dLbls>
          <c:dLblPos val="t"/>
          <c:showLegendKey val="0"/>
          <c:showVal val="1"/>
          <c:showCatName val="0"/>
          <c:showSerName val="0"/>
          <c:showPercent val="0"/>
          <c:showBubbleSize val="0"/>
        </c:dLbls>
        <c:marker val="1"/>
        <c:smooth val="0"/>
        <c:axId val="452179887"/>
        <c:axId val="452174127"/>
      </c:lineChart>
      <c:catAx>
        <c:axId val="452179887"/>
        <c:scaling>
          <c:orientation val="minMax"/>
        </c:scaling>
        <c:delete val="0"/>
        <c:axPos val="b"/>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0" i="1" u="none" strike="noStrike" kern="1200" baseline="0">
                <a:solidFill>
                  <a:schemeClr val="tx1">
                    <a:lumMod val="95000"/>
                    <a:lumOff val="5000"/>
                  </a:schemeClr>
                </a:solidFill>
                <a:latin typeface="+mn-lt"/>
                <a:ea typeface="+mn-ea"/>
                <a:cs typeface="+mn-cs"/>
              </a:defRPr>
            </a:pPr>
            <a:endParaRPr lang="en-US"/>
          </a:p>
        </c:txPr>
        <c:crossAx val="452174127"/>
        <c:crosses val="autoZero"/>
        <c:auto val="1"/>
        <c:lblAlgn val="ctr"/>
        <c:lblOffset val="100"/>
        <c:noMultiLvlLbl val="0"/>
      </c:catAx>
      <c:valAx>
        <c:axId val="452174127"/>
        <c:scaling>
          <c:orientation val="minMax"/>
        </c:scaling>
        <c:delete val="1"/>
        <c:axPos val="l"/>
        <c:numFmt formatCode="0.0" sourceLinked="1"/>
        <c:majorTickMark val="out"/>
        <c:minorTickMark val="none"/>
        <c:tickLblPos val="nextTo"/>
        <c:crossAx val="45217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ys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[last version1.xlsx]Pinot Ph 1!PivotTable5</c:name>
    <c:fmtId val="3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957139970139827E-2"/>
          <c:y val="7.407407407407407E-2"/>
          <c:w val="0.94632699118410268"/>
          <c:h val="0.79081802274715662"/>
        </c:manualLayout>
      </c:layout>
      <c:barChart>
        <c:barDir val="col"/>
        <c:grouping val="clustered"/>
        <c:varyColors val="0"/>
        <c:ser>
          <c:idx val="0"/>
          <c:order val="0"/>
          <c:tx>
            <c:strRef>
              <c:f>'Pinot Ph 1'!$I$49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'Pinot Ph 1'!$H$50:$H$59</c:f>
              <c:strCache>
                <c:ptCount val="9"/>
                <c:pt idx="0">
                  <c:v>Africa</c:v>
                </c:pt>
                <c:pt idx="1">
                  <c:v>East Asia</c:v>
                </c:pt>
                <c:pt idx="2">
                  <c:v>Europe</c:v>
                </c:pt>
                <c:pt idx="3">
                  <c:v>Middle East</c:v>
                </c:pt>
                <c:pt idx="4">
                  <c:v>North America</c:v>
                </c:pt>
                <c:pt idx="5">
                  <c:v>Oceania</c:v>
                </c:pt>
                <c:pt idx="6">
                  <c:v>South America</c:v>
                </c:pt>
                <c:pt idx="7">
                  <c:v>South Asia</c:v>
                </c:pt>
                <c:pt idx="8">
                  <c:v>Southeast Asia</c:v>
                </c:pt>
              </c:strCache>
            </c:strRef>
          </c:cat>
          <c:val>
            <c:numRef>
              <c:f>'Pinot Ph 1'!$I$50:$I$59</c:f>
              <c:numCache>
                <c:formatCode>0.0</c:formatCode>
                <c:ptCount val="9"/>
                <c:pt idx="0">
                  <c:v>1076.7674418604652</c:v>
                </c:pt>
                <c:pt idx="1">
                  <c:v>8921</c:v>
                </c:pt>
                <c:pt idx="2">
                  <c:v>11608.738095238095</c:v>
                </c:pt>
                <c:pt idx="3">
                  <c:v>4892.3999999999996</c:v>
                </c:pt>
                <c:pt idx="4">
                  <c:v>4726.363636363636</c:v>
                </c:pt>
                <c:pt idx="5">
                  <c:v>2231.8333333333335</c:v>
                </c:pt>
                <c:pt idx="6">
                  <c:v>6929.333333333333</c:v>
                </c:pt>
                <c:pt idx="7">
                  <c:v>2951.1538461538462</c:v>
                </c:pt>
                <c:pt idx="8">
                  <c:v>11092.6</c:v>
                </c:pt>
              </c:numCache>
            </c:numRef>
          </c:val>
          <c:extLst>
            <c:ext xmlns:c16="http://schemas.microsoft.com/office/drawing/2014/chart" uri="{C3380CC4-5D6E-409C-BE32-E72D297353CC}">
              <c16:uniqueId val="{00000000-4E9F-4BFF-95A7-F5EA07F0FD63}"/>
            </c:ext>
          </c:extLst>
        </c:ser>
        <c:dLbls>
          <c:dLblPos val="outEnd"/>
          <c:showLegendKey val="0"/>
          <c:showVal val="1"/>
          <c:showCatName val="0"/>
          <c:showSerName val="0"/>
          <c:showPercent val="0"/>
          <c:showBubbleSize val="0"/>
        </c:dLbls>
        <c:gapWidth val="100"/>
        <c:overlap val="-24"/>
        <c:axId val="949502992"/>
        <c:axId val="949503952"/>
      </c:barChart>
      <c:catAx>
        <c:axId val="9495029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949503952"/>
        <c:crosses val="autoZero"/>
        <c:auto val="1"/>
        <c:lblAlgn val="ctr"/>
        <c:lblOffset val="100"/>
        <c:noMultiLvlLbl val="0"/>
      </c:catAx>
      <c:valAx>
        <c:axId val="949503952"/>
        <c:scaling>
          <c:orientation val="minMax"/>
        </c:scaling>
        <c:delete val="1"/>
        <c:axPos val="l"/>
        <c:numFmt formatCode="0.0" sourceLinked="1"/>
        <c:majorTickMark val="none"/>
        <c:minorTickMark val="none"/>
        <c:tickLblPos val="nextTo"/>
        <c:crossAx val="94950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[last version1.xlsx]Pinot Ph 1!PivotTable2</c:name>
    <c:fmtId val="102"/>
  </c:pivotSource>
  <c:chart>
    <c:autoTitleDeleted val="1"/>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85F7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63319602223097"/>
          <c:y val="4.5192159148642039E-2"/>
          <c:w val="0.74857057209878375"/>
          <c:h val="0.93963785007311773"/>
        </c:manualLayout>
      </c:layout>
      <c:barChart>
        <c:barDir val="bar"/>
        <c:grouping val="stacked"/>
        <c:varyColors val="0"/>
        <c:ser>
          <c:idx val="0"/>
          <c:order val="0"/>
          <c:tx>
            <c:strRef>
              <c:f>'Pinot Ph 1'!$I$3</c:f>
              <c:strCache>
                <c:ptCount val="1"/>
                <c:pt idx="0">
                  <c:v>Total</c:v>
                </c:pt>
              </c:strCache>
            </c:strRef>
          </c:tx>
          <c:spPr>
            <a:solidFill>
              <a:srgbClr val="385F7C"/>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'Pinot Ph 1'!$H$4:$H$14</c:f>
              <c:strCache>
                <c:ptCount val="10"/>
                <c:pt idx="0">
                  <c:v>Germany</c:v>
                </c:pt>
                <c:pt idx="1">
                  <c:v>United States of America</c:v>
                </c:pt>
                <c:pt idx="2">
                  <c:v>Italy</c:v>
                </c:pt>
                <c:pt idx="3">
                  <c:v>France</c:v>
                </c:pt>
                <c:pt idx="4">
                  <c:v>Israel</c:v>
                </c:pt>
                <c:pt idx="5">
                  <c:v>Viet Nam</c:v>
                </c:pt>
                <c:pt idx="6">
                  <c:v>Taipei, Chinese</c:v>
                </c:pt>
                <c:pt idx="7">
                  <c:v>United Kingdom</c:v>
                </c:pt>
                <c:pt idx="8">
                  <c:v>Belgium</c:v>
                </c:pt>
                <c:pt idx="9">
                  <c:v>Austria</c:v>
                </c:pt>
              </c:strCache>
            </c:strRef>
          </c:cat>
          <c:val>
            <c:numRef>
              <c:f>'Pinot Ph 1'!$I$4:$I$14</c:f>
              <c:numCache>
                <c:formatCode>General</c:formatCode>
                <c:ptCount val="10"/>
                <c:pt idx="0">
                  <c:v>91361</c:v>
                </c:pt>
                <c:pt idx="1">
                  <c:v>54248</c:v>
                </c:pt>
                <c:pt idx="2">
                  <c:v>50769</c:v>
                </c:pt>
                <c:pt idx="3">
                  <c:v>41958</c:v>
                </c:pt>
                <c:pt idx="4">
                  <c:v>38792</c:v>
                </c:pt>
                <c:pt idx="5">
                  <c:v>34586</c:v>
                </c:pt>
                <c:pt idx="6">
                  <c:v>33727</c:v>
                </c:pt>
                <c:pt idx="7">
                  <c:v>33184</c:v>
                </c:pt>
                <c:pt idx="8">
                  <c:v>27445</c:v>
                </c:pt>
                <c:pt idx="9">
                  <c:v>26701</c:v>
                </c:pt>
              </c:numCache>
            </c:numRef>
          </c:val>
          <c:extLst>
            <c:ext xmlns:c16="http://schemas.microsoft.com/office/drawing/2014/chart" uri="{C3380CC4-5D6E-409C-BE32-E72D297353CC}">
              <c16:uniqueId val="{00000000-2A31-4F88-966A-3E16A6590233}"/>
            </c:ext>
          </c:extLst>
        </c:ser>
        <c:dLbls>
          <c:dLblPos val="inEnd"/>
          <c:showLegendKey val="0"/>
          <c:showVal val="1"/>
          <c:showCatName val="0"/>
          <c:showSerName val="0"/>
          <c:showPercent val="0"/>
          <c:showBubbleSize val="0"/>
        </c:dLbls>
        <c:gapWidth val="150"/>
        <c:overlap val="100"/>
        <c:axId val="1992676095"/>
        <c:axId val="1992678495"/>
      </c:barChart>
      <c:catAx>
        <c:axId val="19926760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1" u="none" strike="noStrike" kern="1200" baseline="0">
                <a:solidFill>
                  <a:schemeClr val="tx1">
                    <a:lumMod val="65000"/>
                    <a:lumOff val="35000"/>
                  </a:schemeClr>
                </a:solidFill>
                <a:latin typeface="+mn-lt"/>
                <a:ea typeface="+mn-ea"/>
                <a:cs typeface="+mn-cs"/>
              </a:defRPr>
            </a:pPr>
            <a:endParaRPr lang="en-US"/>
          </a:p>
        </c:txPr>
        <c:crossAx val="1992678495"/>
        <c:crosses val="autoZero"/>
        <c:auto val="1"/>
        <c:lblAlgn val="ctr"/>
        <c:lblOffset val="100"/>
        <c:noMultiLvlLbl val="0"/>
      </c:catAx>
      <c:valAx>
        <c:axId val="199267849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99267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version1.xlsx]Pinot Ph 1!PivotTable3</c:name>
    <c:fmtId val="8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85F7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66618501756066"/>
          <c:y val="8.1990075276067137E-2"/>
          <c:w val="0.84133381498243931"/>
          <c:h val="0.8816396073788918"/>
        </c:manualLayout>
      </c:layout>
      <c:barChart>
        <c:barDir val="bar"/>
        <c:grouping val="clustered"/>
        <c:varyColors val="0"/>
        <c:ser>
          <c:idx val="0"/>
          <c:order val="0"/>
          <c:tx>
            <c:strRef>
              <c:f>'Pinot Ph 1'!$I$19</c:f>
              <c:strCache>
                <c:ptCount val="1"/>
                <c:pt idx="0">
                  <c:v>Total</c:v>
                </c:pt>
              </c:strCache>
            </c:strRef>
          </c:tx>
          <c:spPr>
            <a:solidFill>
              <a:srgbClr val="385F7C"/>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'Pinot Ph 1'!$H$20:$H$31</c:f>
              <c:strCache>
                <c:ptCount val="11"/>
                <c:pt idx="0">
                  <c:v>Benin</c:v>
                </c:pt>
                <c:pt idx="1">
                  <c:v>Mauritania</c:v>
                </c:pt>
                <c:pt idx="2">
                  <c:v>Panama</c:v>
                </c:pt>
                <c:pt idx="3">
                  <c:v>Senegal</c:v>
                </c:pt>
                <c:pt idx="4">
                  <c:v>Namibia</c:v>
                </c:pt>
                <c:pt idx="5">
                  <c:v>Venezuela, Bolivarian Republic of</c:v>
                </c:pt>
                <c:pt idx="6">
                  <c:v>Cambodia</c:v>
                </c:pt>
                <c:pt idx="7">
                  <c:v>New Caledonia</c:v>
                </c:pt>
                <c:pt idx="8">
                  <c:v>Guyana</c:v>
                </c:pt>
                <c:pt idx="9">
                  <c:v>United Kingdom</c:v>
                </c:pt>
                <c:pt idx="10">
                  <c:v>Korea, Democratic People's Republic of</c:v>
                </c:pt>
              </c:strCache>
            </c:strRef>
          </c:cat>
          <c:val>
            <c:numRef>
              <c:f>'Pinot Ph 1'!$I$20:$I$31</c:f>
              <c:numCache>
                <c:formatCode>General</c:formatCode>
                <c:ptCount val="11"/>
                <c:pt idx="0">
                  <c:v>156</c:v>
                </c:pt>
                <c:pt idx="1">
                  <c:v>116</c:v>
                </c:pt>
                <c:pt idx="2">
                  <c:v>56</c:v>
                </c:pt>
                <c:pt idx="3">
                  <c:v>55</c:v>
                </c:pt>
                <c:pt idx="4">
                  <c:v>55</c:v>
                </c:pt>
                <c:pt idx="5">
                  <c:v>46</c:v>
                </c:pt>
                <c:pt idx="6">
                  <c:v>45</c:v>
                </c:pt>
                <c:pt idx="7">
                  <c:v>45</c:v>
                </c:pt>
                <c:pt idx="8">
                  <c:v>45</c:v>
                </c:pt>
                <c:pt idx="9">
                  <c:v>43</c:v>
                </c:pt>
                <c:pt idx="10">
                  <c:v>43</c:v>
                </c:pt>
              </c:numCache>
            </c:numRef>
          </c:val>
          <c:extLst>
            <c:ext xmlns:c16="http://schemas.microsoft.com/office/drawing/2014/chart" uri="{C3380CC4-5D6E-409C-BE32-E72D297353CC}">
              <c16:uniqueId val="{00000000-5B91-4378-AA4E-B05DE4FF38CC}"/>
            </c:ext>
          </c:extLst>
        </c:ser>
        <c:dLbls>
          <c:dLblPos val="outEnd"/>
          <c:showLegendKey val="0"/>
          <c:showVal val="1"/>
          <c:showCatName val="0"/>
          <c:showSerName val="0"/>
          <c:showPercent val="0"/>
          <c:showBubbleSize val="0"/>
        </c:dLbls>
        <c:gapWidth val="115"/>
        <c:overlap val="-20"/>
        <c:axId val="69893183"/>
        <c:axId val="1562444367"/>
      </c:barChart>
      <c:catAx>
        <c:axId val="698931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1562444367"/>
        <c:crosses val="autoZero"/>
        <c:auto val="1"/>
        <c:lblAlgn val="ctr"/>
        <c:lblOffset val="100"/>
        <c:noMultiLvlLbl val="0"/>
      </c:catAx>
      <c:valAx>
        <c:axId val="1562444367"/>
        <c:scaling>
          <c:orientation val="minMax"/>
        </c:scaling>
        <c:delete val="1"/>
        <c:axPos val="b"/>
        <c:numFmt formatCode="General" sourceLinked="1"/>
        <c:majorTickMark val="none"/>
        <c:minorTickMark val="none"/>
        <c:tickLblPos val="nextTo"/>
        <c:crossAx val="6989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[last version1.xlsx]Pinot Ph 1!PivotTable6</c:name>
    <c:fmtId val="44"/>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1"/>
          <c:showBubbleSize val="0"/>
          <c:extLst>
            <c:ext xmlns:c15="http://schemas.microsoft.com/office/drawing/2012/chart" uri="{CE6537A1-D6FC-4f65-9D91-7224C49458BB}"/>
          </c:extLst>
        </c:dLbl>
      </c:pivotFmt>
      <c:pivotFmt>
        <c:idx val="5"/>
        <c:dLbl>
          <c:idx val="0"/>
          <c:showLegendKey val="0"/>
          <c:showVal val="1"/>
          <c:showCatName val="0"/>
          <c:showSerName val="0"/>
          <c:showPercent val="1"/>
          <c:showBubbleSize val="0"/>
          <c:extLst>
            <c:ext xmlns:c15="http://schemas.microsoft.com/office/drawing/2012/chart" uri="{CE6537A1-D6FC-4f65-9D91-7224C49458BB}"/>
          </c:extLst>
        </c:dLbl>
      </c:pivotFmt>
      <c:pivotFmt>
        <c:idx val="6"/>
        <c:dLbl>
          <c:idx val="0"/>
          <c:layout>
            <c:manualLayout>
              <c:x val="0.12817639774683071"/>
              <c:y val="-3.31978408333443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1.0463379407904547E-2"/>
              <c:y val="0.11382116857146592"/>
            </c:manualLayout>
          </c:layout>
          <c:showLegendKey val="0"/>
          <c:showVal val="1"/>
          <c:showCatName val="0"/>
          <c:showSerName val="0"/>
          <c:showPercent val="1"/>
          <c:showBubbleSize val="0"/>
          <c:extLst>
            <c:ext xmlns:c15="http://schemas.microsoft.com/office/drawing/2012/chart" uri="{CE6537A1-D6FC-4f65-9D91-7224C49458BB}"/>
          </c:extLst>
        </c:dLbl>
      </c:pivotFmt>
      <c:pivotFmt>
        <c:idx val="8"/>
        <c:dLbl>
          <c:idx val="0"/>
          <c:layout>
            <c:manualLayout>
              <c:x val="0.17002991537844889"/>
              <c:y val="0.12804881464289897"/>
            </c:manualLayout>
          </c:layout>
          <c:showLegendKey val="0"/>
          <c:showVal val="1"/>
          <c:showCatName val="0"/>
          <c:showSerName val="0"/>
          <c:showPercent val="1"/>
          <c:showBubbleSize val="0"/>
          <c:extLst>
            <c:ext xmlns:c15="http://schemas.microsoft.com/office/drawing/2012/chart" uri="{CE6537A1-D6FC-4f65-9D91-7224C49458BB}"/>
          </c:extLst>
        </c:dLbl>
      </c:pivotFmt>
      <c:pivotFmt>
        <c:idx val="9"/>
        <c:dLbl>
          <c:idx val="0"/>
          <c:layout>
            <c:manualLayout>
              <c:x val="0.11248132863497379"/>
              <c:y val="0.18021685023815437"/>
            </c:manualLayout>
          </c:layout>
          <c:showLegendKey val="0"/>
          <c:showVal val="1"/>
          <c:showCatName val="0"/>
          <c:showSerName val="0"/>
          <c:showPercent val="1"/>
          <c:showBubbleSize val="0"/>
          <c:extLst>
            <c:ext xmlns:c15="http://schemas.microsoft.com/office/drawing/2012/chart" uri="{CE6537A1-D6FC-4f65-9D91-7224C49458BB}"/>
          </c:extLst>
        </c:dLbl>
      </c:pivotFmt>
      <c:pivotFmt>
        <c:idx val="10"/>
        <c:dLbl>
          <c:idx val="0"/>
          <c:layout>
            <c:manualLayout>
              <c:x val="-0.16218238082252048"/>
              <c:y val="0.17073175285719888"/>
            </c:manualLayout>
          </c:layout>
          <c:showLegendKey val="0"/>
          <c:showVal val="1"/>
          <c:showCatName val="0"/>
          <c:showSerName val="0"/>
          <c:showPercent val="1"/>
          <c:showBubbleSize val="0"/>
          <c:extLst>
            <c:ext xmlns:c15="http://schemas.microsoft.com/office/drawing/2012/chart" uri="{CE6537A1-D6FC-4f65-9D91-7224C49458BB}"/>
          </c:extLst>
        </c:dLbl>
      </c:pivotFmt>
      <c:pivotFmt>
        <c:idx val="11"/>
        <c:dLbl>
          <c:idx val="0"/>
          <c:layout>
            <c:manualLayout>
              <c:x val="-0.14125562200671141"/>
              <c:y val="3.319784083334422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2"/>
        <c:dLbl>
          <c:idx val="0"/>
          <c:layout>
            <c:manualLayout>
              <c:x val="-0.10201794922706935"/>
              <c:y val="0"/>
            </c:manualLayout>
          </c:layout>
          <c:showLegendKey val="0"/>
          <c:showVal val="1"/>
          <c:showCatName val="0"/>
          <c:showSerName val="0"/>
          <c:showPercent val="1"/>
          <c:showBubbleSize val="0"/>
          <c:extLst>
            <c:ext xmlns:c15="http://schemas.microsoft.com/office/drawing/2012/chart" uri="{CE6537A1-D6FC-4f65-9D91-7224C49458BB}"/>
          </c:extLst>
        </c:dLbl>
      </c:pivotFmt>
      <c:pivotFmt>
        <c:idx val="13"/>
        <c:dLbl>
          <c:idx val="0"/>
          <c:layout>
            <c:manualLayout>
              <c:x val="-0.15956653597054435"/>
              <c:y val="8.536587642859944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4"/>
        <c:dLbl>
          <c:idx val="0"/>
          <c:layout>
            <c:manualLayout>
              <c:x val="-0.11771301833892617"/>
              <c:y val="4.7425486904777029E-3"/>
            </c:manualLayout>
          </c:layout>
          <c:showLegendKey val="0"/>
          <c:showVal val="1"/>
          <c:showCatName val="0"/>
          <c:showSerName val="0"/>
          <c:showPercent val="1"/>
          <c:showBubbleSize val="0"/>
          <c:extLst>
            <c:ext xmlns:c15="http://schemas.microsoft.com/office/drawing/2012/chart" uri="{CE6537A1-D6FC-4f65-9D91-7224C49458BB}"/>
          </c:extLst>
        </c:dLbl>
      </c:pivotFmt>
      <c:pivotFmt>
        <c:idx val="15"/>
        <c:dLbl>
          <c:idx val="0"/>
          <c:layout>
            <c:manualLayout>
              <c:x val="-0.15695069111856821"/>
              <c:y val="-2.371274345238873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6"/>
        <c:dLbl>
          <c:idx val="0"/>
          <c:layout>
            <c:manualLayout>
              <c:x val="-0.17264576023042505"/>
              <c:y val="-9.485097380955491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7"/>
        <c:dLbl>
          <c:idx val="0"/>
          <c:layout>
            <c:manualLayout>
              <c:x val="-2.3542603667785232E-2"/>
              <c:y val="-0.11382116857146592"/>
            </c:manualLayout>
          </c:layout>
          <c:showLegendKey val="0"/>
          <c:showVal val="1"/>
          <c:showCatName val="0"/>
          <c:showSerName val="0"/>
          <c:showPercent val="1"/>
          <c:showBubbleSize val="0"/>
          <c:extLst>
            <c:ext xmlns:c15="http://schemas.microsoft.com/office/drawing/2012/chart" uri="{CE6537A1-D6FC-4f65-9D91-7224C49458BB}"/>
          </c:extLst>
        </c:dLbl>
      </c:pivotFmt>
      <c:pivotFmt>
        <c:idx val="18"/>
        <c:dLbl>
          <c:idx val="0"/>
          <c:layout>
            <c:manualLayout>
              <c:x val="0.14387146685868754"/>
              <c:y val="-7.58807790476439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9"/>
        <c:dLbl>
          <c:idx val="0"/>
          <c:layout>
            <c:manualLayout>
              <c:x val="0.15695069111856821"/>
              <c:y val="-6.165313297621072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0"/>
        <c:dLbl>
          <c:idx val="0"/>
          <c:layout>
            <c:manualLayout>
              <c:x val="0.13340808745078298"/>
              <c:y val="-2.3712743452388777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1"/>
        <c:dLbl>
          <c:idx val="0"/>
          <c:layout>
            <c:manualLayout>
              <c:x val="0.15695069111856821"/>
              <c:y val="0.12330626595242132"/>
            </c:manualLayout>
          </c:layout>
          <c:showLegendKey val="0"/>
          <c:showVal val="1"/>
          <c:showCatName val="0"/>
          <c:showSerName val="0"/>
          <c:showPercent val="1"/>
          <c:showBubbleSize val="0"/>
          <c:extLst>
            <c:ext xmlns:c15="http://schemas.microsoft.com/office/drawing/2012/chart" uri="{CE6537A1-D6FC-4f65-9D91-7224C49458BB}"/>
          </c:extLst>
        </c:dLbl>
      </c:pivotFmt>
      <c:pivotFmt>
        <c:idx val="22"/>
        <c:dLbl>
          <c:idx val="0"/>
          <c:layout>
            <c:manualLayout>
              <c:x val="0.16479822567449653"/>
              <c:y val="0.14701900940481014"/>
            </c:manualLayout>
          </c:layout>
          <c:showLegendKey val="0"/>
          <c:showVal val="1"/>
          <c:showCatName val="0"/>
          <c:showSerName val="0"/>
          <c:showPercent val="1"/>
          <c:showBubbleSize val="0"/>
          <c:extLst>
            <c:ext xmlns:c15="http://schemas.microsoft.com/office/drawing/2012/chart" uri="{CE6537A1-D6FC-4f65-9D91-7224C49458BB}"/>
          </c:extLst>
        </c:dLbl>
      </c:pivotFmt>
      <c:pivotFmt>
        <c:idx val="23"/>
        <c:dLbl>
          <c:idx val="0"/>
          <c:layout>
            <c:manualLayout>
              <c:x val="8.6322880115212469E-2"/>
              <c:y val="0.18021685023815437"/>
            </c:manualLayout>
          </c:layout>
          <c:showLegendKey val="0"/>
          <c:showVal val="1"/>
          <c:showCatName val="0"/>
          <c:showSerName val="0"/>
          <c:showPercent val="1"/>
          <c:showBubbleSize val="0"/>
          <c:extLst>
            <c:ext xmlns:c15="http://schemas.microsoft.com/office/drawing/2012/chart" uri="{CE6537A1-D6FC-4f65-9D91-7224C49458BB}"/>
          </c:extLst>
        </c:dLbl>
      </c:pivotFmt>
      <c:pivotFmt>
        <c:idx val="24"/>
        <c:dLbl>
          <c:idx val="0"/>
          <c:showLegendKey val="0"/>
          <c:showVal val="1"/>
          <c:showCatName val="0"/>
          <c:showSerName val="0"/>
          <c:showPercent val="1"/>
          <c:showBubbleSize val="0"/>
          <c:extLst>
            <c:ext xmlns:c15="http://schemas.microsoft.com/office/drawing/2012/chart" uri="{CE6537A1-D6FC-4f65-9D91-7224C49458BB}"/>
          </c:extLst>
        </c:dLbl>
      </c:pivotFmt>
      <c:pivotFmt>
        <c:idx val="25"/>
        <c:dLbl>
          <c:idx val="0"/>
          <c:layout>
            <c:manualLayout>
              <c:x val="0.15695069111856821"/>
              <c:y val="-6.165313297621072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6"/>
        <c:dLbl>
          <c:idx val="0"/>
          <c:layout>
            <c:manualLayout>
              <c:x val="0.13340808745078298"/>
              <c:y val="-2.3712743452388777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7"/>
        <c:dLbl>
          <c:idx val="0"/>
          <c:layout>
            <c:manualLayout>
              <c:x val="0.16479822567449653"/>
              <c:y val="0.14701900940481014"/>
            </c:manualLayout>
          </c:layout>
          <c:showLegendKey val="0"/>
          <c:showVal val="1"/>
          <c:showCatName val="0"/>
          <c:showSerName val="0"/>
          <c:showPercent val="1"/>
          <c:showBubbleSize val="0"/>
          <c:extLst>
            <c:ext xmlns:c15="http://schemas.microsoft.com/office/drawing/2012/chart" uri="{CE6537A1-D6FC-4f65-9D91-7224C49458BB}"/>
          </c:extLst>
        </c:dLbl>
      </c:pivotFmt>
      <c:pivotFmt>
        <c:idx val="28"/>
        <c:dLbl>
          <c:idx val="0"/>
          <c:layout>
            <c:manualLayout>
              <c:x val="0.15695069111856821"/>
              <c:y val="0.12330626595242132"/>
            </c:manualLayout>
          </c:layout>
          <c:showLegendKey val="0"/>
          <c:showVal val="1"/>
          <c:showCatName val="0"/>
          <c:showSerName val="0"/>
          <c:showPercent val="1"/>
          <c:showBubbleSize val="0"/>
          <c:extLst>
            <c:ext xmlns:c15="http://schemas.microsoft.com/office/drawing/2012/chart" uri="{CE6537A1-D6FC-4f65-9D91-7224C49458BB}"/>
          </c:extLst>
        </c:dLbl>
      </c:pivotFmt>
      <c:pivotFmt>
        <c:idx val="29"/>
        <c:dLbl>
          <c:idx val="0"/>
          <c:layout>
            <c:manualLayout>
              <c:x val="0.17002991537844889"/>
              <c:y val="0.12804881464289897"/>
            </c:manualLayout>
          </c:layout>
          <c:showLegendKey val="0"/>
          <c:showVal val="1"/>
          <c:showCatName val="0"/>
          <c:showSerName val="0"/>
          <c:showPercent val="1"/>
          <c:showBubbleSize val="0"/>
          <c:extLst>
            <c:ext xmlns:c15="http://schemas.microsoft.com/office/drawing/2012/chart" uri="{CE6537A1-D6FC-4f65-9D91-7224C49458BB}"/>
          </c:extLst>
        </c:dLbl>
      </c:pivotFmt>
      <c:pivotFmt>
        <c:idx val="30"/>
        <c:dLbl>
          <c:idx val="0"/>
          <c:layout>
            <c:manualLayout>
              <c:x val="0.11248132863497379"/>
              <c:y val="0.18021685023815437"/>
            </c:manualLayout>
          </c:layout>
          <c:showLegendKey val="0"/>
          <c:showVal val="1"/>
          <c:showCatName val="0"/>
          <c:showSerName val="0"/>
          <c:showPercent val="1"/>
          <c:showBubbleSize val="0"/>
          <c:extLst>
            <c:ext xmlns:c15="http://schemas.microsoft.com/office/drawing/2012/chart" uri="{CE6537A1-D6FC-4f65-9D91-7224C49458BB}"/>
          </c:extLst>
        </c:dLbl>
      </c:pivotFmt>
      <c:pivotFmt>
        <c:idx val="31"/>
        <c:dLbl>
          <c:idx val="0"/>
          <c:layout>
            <c:manualLayout>
              <c:x val="-0.16218238082252048"/>
              <c:y val="0.17073175285719888"/>
            </c:manualLayout>
          </c:layout>
          <c:showLegendKey val="0"/>
          <c:showVal val="1"/>
          <c:showCatName val="0"/>
          <c:showSerName val="0"/>
          <c:showPercent val="1"/>
          <c:showBubbleSize val="0"/>
          <c:extLst>
            <c:ext xmlns:c15="http://schemas.microsoft.com/office/drawing/2012/chart" uri="{CE6537A1-D6FC-4f65-9D91-7224C49458BB}"/>
          </c:extLst>
        </c:dLbl>
      </c:pivotFmt>
      <c:pivotFmt>
        <c:idx val="32"/>
        <c:dLbl>
          <c:idx val="0"/>
          <c:layout>
            <c:manualLayout>
              <c:x val="-0.15956653597054435"/>
              <c:y val="8.536587642859944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33"/>
        <c:dLbl>
          <c:idx val="0"/>
          <c:layout>
            <c:manualLayout>
              <c:x val="8.6322880115212469E-2"/>
              <c:y val="0.18021685023815437"/>
            </c:manualLayout>
          </c:layout>
          <c:showLegendKey val="0"/>
          <c:showVal val="1"/>
          <c:showCatName val="0"/>
          <c:showSerName val="0"/>
          <c:showPercent val="1"/>
          <c:showBubbleSize val="0"/>
          <c:extLst>
            <c:ext xmlns:c15="http://schemas.microsoft.com/office/drawing/2012/chart" uri="{CE6537A1-D6FC-4f65-9D91-7224C49458BB}"/>
          </c:extLst>
        </c:dLbl>
      </c:pivotFmt>
      <c:pivotFmt>
        <c:idx val="34"/>
        <c:dLbl>
          <c:idx val="0"/>
          <c:showLegendKey val="0"/>
          <c:showVal val="1"/>
          <c:showCatName val="0"/>
          <c:showSerName val="0"/>
          <c:showPercent val="1"/>
          <c:showBubbleSize val="0"/>
          <c:extLst>
            <c:ext xmlns:c15="http://schemas.microsoft.com/office/drawing/2012/chart" uri="{CE6537A1-D6FC-4f65-9D91-7224C49458BB}"/>
          </c:extLst>
        </c:dLbl>
      </c:pivotFmt>
      <c:pivotFmt>
        <c:idx val="35"/>
        <c:dLbl>
          <c:idx val="0"/>
          <c:layout>
            <c:manualLayout>
              <c:x val="0.12817639774683071"/>
              <c:y val="-3.31978408333443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36"/>
        <c:dLbl>
          <c:idx val="0"/>
          <c:layout>
            <c:manualLayout>
              <c:x val="-1.0463379407904547E-2"/>
              <c:y val="0.11382116857146592"/>
            </c:manualLayout>
          </c:layout>
          <c:showLegendKey val="0"/>
          <c:showVal val="1"/>
          <c:showCatName val="0"/>
          <c:showSerName val="0"/>
          <c:showPercent val="1"/>
          <c:showBubbleSize val="0"/>
          <c:extLst>
            <c:ext xmlns:c15="http://schemas.microsoft.com/office/drawing/2012/chart" uri="{CE6537A1-D6FC-4f65-9D91-7224C49458BB}"/>
          </c:extLst>
        </c:dLbl>
      </c:pivotFmt>
      <c:pivotFmt>
        <c:idx val="37"/>
        <c:dLbl>
          <c:idx val="0"/>
          <c:layout>
            <c:manualLayout>
              <c:x val="-0.14125562200671141"/>
              <c:y val="3.319784083334422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38"/>
        <c:dLbl>
          <c:idx val="0"/>
          <c:layout>
            <c:manualLayout>
              <c:x val="-0.10201794922706935"/>
              <c:y val="0"/>
            </c:manualLayout>
          </c:layout>
          <c:showLegendKey val="0"/>
          <c:showVal val="1"/>
          <c:showCatName val="0"/>
          <c:showSerName val="0"/>
          <c:showPercent val="1"/>
          <c:showBubbleSize val="0"/>
          <c:extLst>
            <c:ext xmlns:c15="http://schemas.microsoft.com/office/drawing/2012/chart" uri="{CE6537A1-D6FC-4f65-9D91-7224C49458BB}"/>
          </c:extLst>
        </c:dLbl>
      </c:pivotFmt>
      <c:pivotFmt>
        <c:idx val="39"/>
        <c:dLbl>
          <c:idx val="0"/>
          <c:layout>
            <c:manualLayout>
              <c:x val="-0.11771301833892617"/>
              <c:y val="4.7425486904777029E-3"/>
            </c:manualLayout>
          </c:layout>
          <c:showLegendKey val="0"/>
          <c:showVal val="1"/>
          <c:showCatName val="0"/>
          <c:showSerName val="0"/>
          <c:showPercent val="1"/>
          <c:showBubbleSize val="0"/>
          <c:extLst>
            <c:ext xmlns:c15="http://schemas.microsoft.com/office/drawing/2012/chart" uri="{CE6537A1-D6FC-4f65-9D91-7224C49458BB}"/>
          </c:extLst>
        </c:dLbl>
      </c:pivotFmt>
      <c:pivotFmt>
        <c:idx val="40"/>
        <c:dLbl>
          <c:idx val="0"/>
          <c:layout>
            <c:manualLayout>
              <c:x val="-0.15695069111856821"/>
              <c:y val="-2.371274345238873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41"/>
        <c:dLbl>
          <c:idx val="0"/>
          <c:layout>
            <c:manualLayout>
              <c:x val="-0.17264576023042505"/>
              <c:y val="-9.485097380955491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42"/>
        <c:dLbl>
          <c:idx val="0"/>
          <c:layout>
            <c:manualLayout>
              <c:x val="-2.3542603667785232E-2"/>
              <c:y val="-0.11382116857146592"/>
            </c:manualLayout>
          </c:layout>
          <c:showLegendKey val="0"/>
          <c:showVal val="1"/>
          <c:showCatName val="0"/>
          <c:showSerName val="0"/>
          <c:showPercent val="1"/>
          <c:showBubbleSize val="0"/>
          <c:extLst>
            <c:ext xmlns:c15="http://schemas.microsoft.com/office/drawing/2012/chart" uri="{CE6537A1-D6FC-4f65-9D91-7224C49458BB}"/>
          </c:extLst>
        </c:dLbl>
      </c:pivotFmt>
      <c:pivotFmt>
        <c:idx val="43"/>
        <c:dLbl>
          <c:idx val="0"/>
          <c:layout>
            <c:manualLayout>
              <c:x val="0.14387146685868754"/>
              <c:y val="-7.588077904764394E-2"/>
            </c:manualLayout>
          </c:layout>
          <c:showLegendKey val="0"/>
          <c:showVal val="1"/>
          <c:showCatName val="0"/>
          <c:showSerName val="0"/>
          <c:showPercent val="1"/>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549037428263406E-2"/>
              <c:y val="0"/>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549037428263406E-2"/>
              <c:y val="0"/>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549037428263406E-2"/>
              <c:y val="0"/>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80"/>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81"/>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82"/>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83"/>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84"/>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85"/>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86"/>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87"/>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3.4531287942524282E-2"/>
          <c:y val="6.4264919760371575E-2"/>
          <c:w val="0.93903902466334055"/>
          <c:h val="0.76670542333467795"/>
        </c:manualLayout>
      </c:layout>
      <c:barChart>
        <c:barDir val="bar"/>
        <c:grouping val="clustered"/>
        <c:varyColors val="0"/>
        <c:ser>
          <c:idx val="1"/>
          <c:order val="1"/>
          <c:tx>
            <c:strRef>
              <c:f>'Pinot Ph 1'!$J$64</c:f>
              <c:strCache>
                <c:ptCount val="1"/>
                <c:pt idx="0">
                  <c:v>Sum of Value imported in 2024 (USD thousand)</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EF50-4841-8FEA-ADF98F4FBF54}"/>
              </c:ext>
            </c:extLst>
          </c:dPt>
          <c:dPt>
            <c:idx val="1"/>
            <c:invertIfNegative val="0"/>
            <c:bubble3D val="0"/>
            <c:extLst>
              <c:ext xmlns:c16="http://schemas.microsoft.com/office/drawing/2014/chart" uri="{C3380CC4-5D6E-409C-BE32-E72D297353CC}">
                <c16:uniqueId val="{00000001-EF50-4841-8FEA-ADF98F4FBF54}"/>
              </c:ext>
            </c:extLst>
          </c:dPt>
          <c:dPt>
            <c:idx val="2"/>
            <c:invertIfNegative val="0"/>
            <c:bubble3D val="0"/>
            <c:extLst>
              <c:ext xmlns:c16="http://schemas.microsoft.com/office/drawing/2014/chart" uri="{C3380CC4-5D6E-409C-BE32-E72D297353CC}">
                <c16:uniqueId val="{00000002-EF50-4841-8FEA-ADF98F4FBF54}"/>
              </c:ext>
            </c:extLst>
          </c:dPt>
          <c:dPt>
            <c:idx val="3"/>
            <c:invertIfNegative val="0"/>
            <c:bubble3D val="0"/>
            <c:extLst>
              <c:ext xmlns:c16="http://schemas.microsoft.com/office/drawing/2014/chart" uri="{C3380CC4-5D6E-409C-BE32-E72D297353CC}">
                <c16:uniqueId val="{00000003-EF50-4841-8FEA-ADF98F4FBF54}"/>
              </c:ext>
            </c:extLst>
          </c:dPt>
          <c:dPt>
            <c:idx val="4"/>
            <c:invertIfNegative val="0"/>
            <c:bubble3D val="0"/>
            <c:extLst>
              <c:ext xmlns:c16="http://schemas.microsoft.com/office/drawing/2014/chart" uri="{C3380CC4-5D6E-409C-BE32-E72D297353CC}">
                <c16:uniqueId val="{00000004-EF50-4841-8FEA-ADF98F4FBF54}"/>
              </c:ext>
            </c:extLst>
          </c:dPt>
          <c:dPt>
            <c:idx val="5"/>
            <c:invertIfNegative val="0"/>
            <c:bubble3D val="0"/>
            <c:extLst>
              <c:ext xmlns:c16="http://schemas.microsoft.com/office/drawing/2014/chart" uri="{C3380CC4-5D6E-409C-BE32-E72D297353CC}">
                <c16:uniqueId val="{00000005-EF50-4841-8FEA-ADF98F4FBF54}"/>
              </c:ext>
            </c:extLst>
          </c:dPt>
          <c:dPt>
            <c:idx val="6"/>
            <c:invertIfNegative val="0"/>
            <c:bubble3D val="0"/>
            <c:extLst>
              <c:ext xmlns:c16="http://schemas.microsoft.com/office/drawing/2014/chart" uri="{C3380CC4-5D6E-409C-BE32-E72D297353CC}">
                <c16:uniqueId val="{00000006-EF50-4841-8FEA-ADF98F4FBF54}"/>
              </c:ext>
            </c:extLst>
          </c:dPt>
          <c:dPt>
            <c:idx val="7"/>
            <c:invertIfNegative val="0"/>
            <c:bubble3D val="0"/>
            <c:extLst>
              <c:ext xmlns:c16="http://schemas.microsoft.com/office/drawing/2014/chart" uri="{C3380CC4-5D6E-409C-BE32-E72D297353CC}">
                <c16:uniqueId val="{00000007-EF50-4841-8FEA-ADF98F4FBF54}"/>
              </c:ext>
            </c:extLst>
          </c:dPt>
          <c:dPt>
            <c:idx val="8"/>
            <c:invertIfNegative val="0"/>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EF50-4841-8FEA-ADF98F4FBF54}"/>
              </c:ext>
            </c:extLst>
          </c:dPt>
          <c:dLbls>
            <c:dLbl>
              <c:idx val="8"/>
              <c:layout>
                <c:manualLayout>
                  <c:x val="-1.6549037428263406E-2"/>
                  <c:y val="0"/>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50-4841-8FEA-ADF98F4FBF54}"/>
                </c:ext>
              </c:extLst>
            </c:dLbl>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'Pinot Ph 1'!$H$65:$H$74</c:f>
              <c:strCache>
                <c:ptCount val="9"/>
                <c:pt idx="0">
                  <c:v>Europe</c:v>
                </c:pt>
                <c:pt idx="1">
                  <c:v>Southeast Asia</c:v>
                </c:pt>
                <c:pt idx="2">
                  <c:v>North America</c:v>
                </c:pt>
                <c:pt idx="3">
                  <c:v>South America</c:v>
                </c:pt>
                <c:pt idx="4">
                  <c:v>Middle East</c:v>
                </c:pt>
                <c:pt idx="5">
                  <c:v>East Asia</c:v>
                </c:pt>
                <c:pt idx="6">
                  <c:v>Africa</c:v>
                </c:pt>
                <c:pt idx="7">
                  <c:v>South Asia</c:v>
                </c:pt>
                <c:pt idx="8">
                  <c:v>Oceania</c:v>
                </c:pt>
              </c:strCache>
            </c:strRef>
          </c:cat>
          <c:val>
            <c:numRef>
              <c:f>'Pinot Ph 1'!$J$65:$J$74</c:f>
              <c:numCache>
                <c:formatCode>0.0</c:formatCode>
                <c:ptCount val="9"/>
                <c:pt idx="0">
                  <c:v>487567</c:v>
                </c:pt>
                <c:pt idx="1">
                  <c:v>110926</c:v>
                </c:pt>
                <c:pt idx="2">
                  <c:v>103980</c:v>
                </c:pt>
                <c:pt idx="3">
                  <c:v>83152</c:v>
                </c:pt>
                <c:pt idx="4">
                  <c:v>73386</c:v>
                </c:pt>
                <c:pt idx="5">
                  <c:v>62447</c:v>
                </c:pt>
                <c:pt idx="6">
                  <c:v>46301</c:v>
                </c:pt>
                <c:pt idx="7">
                  <c:v>38365</c:v>
                </c:pt>
                <c:pt idx="8">
                  <c:v>13391</c:v>
                </c:pt>
              </c:numCache>
            </c:numRef>
          </c:val>
          <c:extLst>
            <c:ext xmlns:c16="http://schemas.microsoft.com/office/drawing/2014/chart" uri="{C3380CC4-5D6E-409C-BE32-E72D297353CC}">
              <c16:uniqueId val="{00000009-EF50-4841-8FEA-ADF98F4FBF54}"/>
            </c:ext>
          </c:extLst>
        </c:ser>
        <c:dLbls>
          <c:showLegendKey val="0"/>
          <c:showVal val="1"/>
          <c:showCatName val="0"/>
          <c:showSerName val="0"/>
          <c:showPercent val="0"/>
          <c:showBubbleSize val="0"/>
        </c:dLbls>
        <c:gapWidth val="100"/>
        <c:axId val="1721941951"/>
        <c:axId val="1562457807"/>
      </c:barChart>
      <c:lineChart>
        <c:grouping val="standard"/>
        <c:varyColors val="0"/>
        <c:ser>
          <c:idx val="0"/>
          <c:order val="0"/>
          <c:tx>
            <c:strRef>
              <c:f>'Pinot Ph 1'!$I$64</c:f>
              <c:strCache>
                <c:ptCount val="1"/>
                <c:pt idx="0">
                  <c:v>Average of Annual growth in value between 2020-2024 (%)</c:v>
                </c:pt>
              </c:strCache>
            </c:strRef>
          </c:tx>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EF50-4841-8FEA-ADF98F4FBF54}"/>
              </c:ext>
            </c:extLst>
          </c:dPt>
          <c:dPt>
            <c:idx val="1"/>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F50-4841-8FEA-ADF98F4FBF54}"/>
              </c:ext>
            </c:extLst>
          </c:dPt>
          <c:dPt>
            <c:idx val="2"/>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EF50-4841-8FEA-ADF98F4FBF54}"/>
              </c:ext>
            </c:extLst>
          </c:dPt>
          <c:dPt>
            <c:idx val="3"/>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F50-4841-8FEA-ADF98F4FBF54}"/>
              </c:ext>
            </c:extLst>
          </c:dPt>
          <c:dPt>
            <c:idx val="4"/>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EF50-4841-8FEA-ADF98F4FBF54}"/>
              </c:ext>
            </c:extLst>
          </c:dPt>
          <c:dPt>
            <c:idx val="5"/>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F50-4841-8FEA-ADF98F4FBF54}"/>
              </c:ext>
            </c:extLst>
          </c:dPt>
          <c:dPt>
            <c:idx val="6"/>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EF50-4841-8FEA-ADF98F4FBF54}"/>
              </c:ext>
            </c:extLst>
          </c:dPt>
          <c:dPt>
            <c:idx val="7"/>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F50-4841-8FEA-ADF98F4FBF54}"/>
              </c:ext>
            </c:extLst>
          </c:dPt>
          <c:dPt>
            <c:idx val="8"/>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bubble3D val="0"/>
            <c:spPr>
              <a:ln w="34925" cap="rnd">
                <a:solidFill>
                  <a:schemeClr val="accent1">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EF50-4841-8FEA-ADF98F4FBF54}"/>
              </c:ext>
            </c:extLst>
          </c:dPt>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'Pinot Ph 1'!$H$65:$H$74</c:f>
              <c:strCache>
                <c:ptCount val="9"/>
                <c:pt idx="0">
                  <c:v>Europe</c:v>
                </c:pt>
                <c:pt idx="1">
                  <c:v>Southeast Asia</c:v>
                </c:pt>
                <c:pt idx="2">
                  <c:v>North America</c:v>
                </c:pt>
                <c:pt idx="3">
                  <c:v>South America</c:v>
                </c:pt>
                <c:pt idx="4">
                  <c:v>Middle East</c:v>
                </c:pt>
                <c:pt idx="5">
                  <c:v>East Asia</c:v>
                </c:pt>
                <c:pt idx="6">
                  <c:v>Africa</c:v>
                </c:pt>
                <c:pt idx="7">
                  <c:v>South Asia</c:v>
                </c:pt>
                <c:pt idx="8">
                  <c:v>Oceania</c:v>
                </c:pt>
              </c:strCache>
            </c:strRef>
          </c:cat>
          <c:val>
            <c:numRef>
              <c:f>'Pinot Ph 1'!$I$65:$I$74</c:f>
              <c:numCache>
                <c:formatCode>0.0</c:formatCode>
                <c:ptCount val="9"/>
                <c:pt idx="0">
                  <c:v>8.6428571428571423</c:v>
                </c:pt>
                <c:pt idx="1">
                  <c:v>9.4</c:v>
                </c:pt>
                <c:pt idx="2">
                  <c:v>4.3181818181818183</c:v>
                </c:pt>
                <c:pt idx="3">
                  <c:v>14.416666666666666</c:v>
                </c:pt>
                <c:pt idx="4">
                  <c:v>7.6</c:v>
                </c:pt>
                <c:pt idx="5">
                  <c:v>2.7142857142857144</c:v>
                </c:pt>
                <c:pt idx="6">
                  <c:v>13.953488372093023</c:v>
                </c:pt>
                <c:pt idx="7">
                  <c:v>10.692307692307692</c:v>
                </c:pt>
                <c:pt idx="8">
                  <c:v>21.666666666666668</c:v>
                </c:pt>
              </c:numCache>
            </c:numRef>
          </c:val>
          <c:smooth val="0"/>
          <c:extLst>
            <c:ext xmlns:c16="http://schemas.microsoft.com/office/drawing/2014/chart" uri="{C3380CC4-5D6E-409C-BE32-E72D297353CC}">
              <c16:uniqueId val="{00000013-EF50-4841-8FEA-ADF98F4FBF54}"/>
            </c:ext>
          </c:extLst>
        </c:ser>
        <c:dLbls>
          <c:showLegendKey val="0"/>
          <c:showVal val="1"/>
          <c:showCatName val="0"/>
          <c:showSerName val="0"/>
          <c:showPercent val="0"/>
          <c:showBubbleSize val="0"/>
        </c:dLbls>
        <c:marker val="1"/>
        <c:smooth val="0"/>
        <c:axId val="1721938239"/>
        <c:axId val="1562457327"/>
      </c:lineChart>
      <c:catAx>
        <c:axId val="17219382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1562457327"/>
        <c:crosses val="autoZero"/>
        <c:auto val="1"/>
        <c:lblAlgn val="ctr"/>
        <c:lblOffset val="100"/>
        <c:noMultiLvlLbl val="0"/>
      </c:catAx>
      <c:valAx>
        <c:axId val="1562457327"/>
        <c:scaling>
          <c:orientation val="minMax"/>
        </c:scaling>
        <c:delete val="1"/>
        <c:axPos val="l"/>
        <c:numFmt formatCode="0.0" sourceLinked="1"/>
        <c:majorTickMark val="none"/>
        <c:minorTickMark val="none"/>
        <c:tickLblPos val="nextTo"/>
        <c:crossAx val="1721938239"/>
        <c:crosses val="autoZero"/>
        <c:crossBetween val="between"/>
      </c:valAx>
      <c:valAx>
        <c:axId val="1562457807"/>
        <c:scaling>
          <c:orientation val="minMax"/>
        </c:scaling>
        <c:delete val="1"/>
        <c:axPos val="t"/>
        <c:numFmt formatCode="0.0" sourceLinked="1"/>
        <c:majorTickMark val="none"/>
        <c:minorTickMark val="none"/>
        <c:tickLblPos val="nextTo"/>
        <c:crossAx val="1721941951"/>
        <c:crosses val="max"/>
        <c:crossBetween val="between"/>
      </c:valAx>
      <c:catAx>
        <c:axId val="1721941951"/>
        <c:scaling>
          <c:orientation val="minMax"/>
        </c:scaling>
        <c:delete val="1"/>
        <c:axPos val="l"/>
        <c:numFmt formatCode="General" sourceLinked="1"/>
        <c:majorTickMark val="none"/>
        <c:minorTickMark val="none"/>
        <c:tickLblPos val="nextTo"/>
        <c:crossAx val="156245780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version1.xlsx]pivot phase 2 !PivotTable5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phase 2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phase 2 '!$A$4:$A$24</c:f>
              <c:strCache>
                <c:ptCount val="20"/>
                <c:pt idx="0">
                  <c:v>Peru</c:v>
                </c:pt>
                <c:pt idx="1">
                  <c:v>Czech Republic</c:v>
                </c:pt>
                <c:pt idx="2">
                  <c:v>Spain</c:v>
                </c:pt>
                <c:pt idx="3">
                  <c:v>Chile</c:v>
                </c:pt>
                <c:pt idx="4">
                  <c:v>Singapore</c:v>
                </c:pt>
                <c:pt idx="5">
                  <c:v>Portugal</c:v>
                </c:pt>
                <c:pt idx="6">
                  <c:v>Indonesia</c:v>
                </c:pt>
                <c:pt idx="7">
                  <c:v>Mexico</c:v>
                </c:pt>
                <c:pt idx="8">
                  <c:v>Ireland</c:v>
                </c:pt>
                <c:pt idx="9">
                  <c:v>Netherlands</c:v>
                </c:pt>
                <c:pt idx="10">
                  <c:v>Austria</c:v>
                </c:pt>
                <c:pt idx="11">
                  <c:v>Belgium</c:v>
                </c:pt>
                <c:pt idx="12">
                  <c:v>United Kingdom</c:v>
                </c:pt>
                <c:pt idx="13">
                  <c:v>Taipei, Chinese</c:v>
                </c:pt>
                <c:pt idx="14">
                  <c:v>Viet Nam</c:v>
                </c:pt>
                <c:pt idx="15">
                  <c:v>Israel</c:v>
                </c:pt>
                <c:pt idx="16">
                  <c:v>France</c:v>
                </c:pt>
                <c:pt idx="17">
                  <c:v>Italy</c:v>
                </c:pt>
                <c:pt idx="18">
                  <c:v>United States of America</c:v>
                </c:pt>
                <c:pt idx="19">
                  <c:v>Germany</c:v>
                </c:pt>
              </c:strCache>
            </c:strRef>
          </c:cat>
          <c:val>
            <c:numRef>
              <c:f>'pivot phase 2 '!$B$4:$B$24</c:f>
              <c:numCache>
                <c:formatCode>General</c:formatCode>
                <c:ptCount val="20"/>
                <c:pt idx="0">
                  <c:v>17334</c:v>
                </c:pt>
                <c:pt idx="1">
                  <c:v>19180</c:v>
                </c:pt>
                <c:pt idx="2">
                  <c:v>19724</c:v>
                </c:pt>
                <c:pt idx="3">
                  <c:v>21184</c:v>
                </c:pt>
                <c:pt idx="4">
                  <c:v>22002</c:v>
                </c:pt>
                <c:pt idx="5">
                  <c:v>22266</c:v>
                </c:pt>
                <c:pt idx="6">
                  <c:v>22859</c:v>
                </c:pt>
                <c:pt idx="7">
                  <c:v>24112</c:v>
                </c:pt>
                <c:pt idx="8">
                  <c:v>24830</c:v>
                </c:pt>
                <c:pt idx="9">
                  <c:v>26482</c:v>
                </c:pt>
                <c:pt idx="10">
                  <c:v>26701</c:v>
                </c:pt>
                <c:pt idx="11">
                  <c:v>27445</c:v>
                </c:pt>
                <c:pt idx="12">
                  <c:v>33184</c:v>
                </c:pt>
                <c:pt idx="13">
                  <c:v>33727</c:v>
                </c:pt>
                <c:pt idx="14">
                  <c:v>34586</c:v>
                </c:pt>
                <c:pt idx="15">
                  <c:v>38792</c:v>
                </c:pt>
                <c:pt idx="16">
                  <c:v>41958</c:v>
                </c:pt>
                <c:pt idx="17">
                  <c:v>50769</c:v>
                </c:pt>
                <c:pt idx="18">
                  <c:v>54248</c:v>
                </c:pt>
                <c:pt idx="19">
                  <c:v>91361</c:v>
                </c:pt>
              </c:numCache>
            </c:numRef>
          </c:val>
          <c:extLst>
            <c:ext xmlns:c16="http://schemas.microsoft.com/office/drawing/2014/chart" uri="{C3380CC4-5D6E-409C-BE32-E72D297353CC}">
              <c16:uniqueId val="{00000000-FD2D-45ED-AB82-43D2ABB04511}"/>
            </c:ext>
          </c:extLst>
        </c:ser>
        <c:dLbls>
          <c:dLblPos val="outEnd"/>
          <c:showLegendKey val="0"/>
          <c:showVal val="1"/>
          <c:showCatName val="0"/>
          <c:showSerName val="0"/>
          <c:showPercent val="0"/>
          <c:showBubbleSize val="0"/>
        </c:dLbls>
        <c:gapWidth val="115"/>
        <c:overlap val="-20"/>
        <c:axId val="340122896"/>
        <c:axId val="1458939183"/>
      </c:barChart>
      <c:catAx>
        <c:axId val="3401228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458939183"/>
        <c:crosses val="autoZero"/>
        <c:auto val="1"/>
        <c:lblAlgn val="ctr"/>
        <c:lblOffset val="100"/>
        <c:noMultiLvlLbl val="0"/>
      </c:catAx>
      <c:valAx>
        <c:axId val="1458939183"/>
        <c:scaling>
          <c:orientation val="minMax"/>
        </c:scaling>
        <c:delete val="1"/>
        <c:axPos val="b"/>
        <c:numFmt formatCode="General" sourceLinked="1"/>
        <c:majorTickMark val="none"/>
        <c:minorTickMark val="none"/>
        <c:tickLblPos val="nextTo"/>
        <c:crossAx val="34012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[last version1.xlsx]pivot phase 2 !PivotTable9</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711199524484892E-2"/>
          <c:y val="4.2338415890657906E-2"/>
          <c:w val="0.96464394074336413"/>
          <c:h val="0.68378906626392977"/>
        </c:manualLayout>
      </c:layout>
      <c:barChart>
        <c:barDir val="col"/>
        <c:grouping val="clustered"/>
        <c:varyColors val="0"/>
        <c:ser>
          <c:idx val="0"/>
          <c:order val="0"/>
          <c:tx>
            <c:strRef>
              <c:f>'pivot phase 2 '!$B$57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phase 2 '!$A$58:$A$78</c:f>
              <c:strCache>
                <c:ptCount val="20"/>
                <c:pt idx="0">
                  <c:v>Benin</c:v>
                </c:pt>
                <c:pt idx="1">
                  <c:v>Mauritania</c:v>
                </c:pt>
                <c:pt idx="2">
                  <c:v>Panama</c:v>
                </c:pt>
                <c:pt idx="3">
                  <c:v>Senegal</c:v>
                </c:pt>
                <c:pt idx="4">
                  <c:v>Namibia</c:v>
                </c:pt>
                <c:pt idx="5">
                  <c:v>Venezuela, Bolivarian Republic of</c:v>
                </c:pt>
                <c:pt idx="6">
                  <c:v>Cambodia</c:v>
                </c:pt>
                <c:pt idx="7">
                  <c:v>Guyana</c:v>
                </c:pt>
                <c:pt idx="8">
                  <c:v>New Caledonia</c:v>
                </c:pt>
                <c:pt idx="9">
                  <c:v>Korea, Democratic People's Republic of</c:v>
                </c:pt>
                <c:pt idx="10">
                  <c:v>United Kingdom</c:v>
                </c:pt>
                <c:pt idx="11">
                  <c:v>Fiji</c:v>
                </c:pt>
                <c:pt idx="12">
                  <c:v>Jamaica</c:v>
                </c:pt>
                <c:pt idx="13">
                  <c:v>Aruba</c:v>
                </c:pt>
                <c:pt idx="14">
                  <c:v>Turkmenistan</c:v>
                </c:pt>
                <c:pt idx="15">
                  <c:v>Suriname</c:v>
                </c:pt>
                <c:pt idx="16">
                  <c:v>Nigeria</c:v>
                </c:pt>
                <c:pt idx="17">
                  <c:v>Gabon</c:v>
                </c:pt>
                <c:pt idx="18">
                  <c:v>Afghanistan</c:v>
                </c:pt>
                <c:pt idx="19">
                  <c:v>Nepal</c:v>
                </c:pt>
              </c:strCache>
            </c:strRef>
          </c:cat>
          <c:val>
            <c:numRef>
              <c:f>'pivot phase 2 '!$B$58:$B$78</c:f>
              <c:numCache>
                <c:formatCode>General</c:formatCode>
                <c:ptCount val="20"/>
                <c:pt idx="0">
                  <c:v>156</c:v>
                </c:pt>
                <c:pt idx="1">
                  <c:v>116</c:v>
                </c:pt>
                <c:pt idx="2">
                  <c:v>56</c:v>
                </c:pt>
                <c:pt idx="3">
                  <c:v>55</c:v>
                </c:pt>
                <c:pt idx="4">
                  <c:v>55</c:v>
                </c:pt>
                <c:pt idx="5">
                  <c:v>46</c:v>
                </c:pt>
                <c:pt idx="6">
                  <c:v>45</c:v>
                </c:pt>
                <c:pt idx="7">
                  <c:v>45</c:v>
                </c:pt>
                <c:pt idx="8">
                  <c:v>45</c:v>
                </c:pt>
                <c:pt idx="9">
                  <c:v>43</c:v>
                </c:pt>
                <c:pt idx="10">
                  <c:v>43</c:v>
                </c:pt>
                <c:pt idx="11">
                  <c:v>42</c:v>
                </c:pt>
                <c:pt idx="12">
                  <c:v>42</c:v>
                </c:pt>
                <c:pt idx="13">
                  <c:v>39</c:v>
                </c:pt>
                <c:pt idx="14">
                  <c:v>39</c:v>
                </c:pt>
                <c:pt idx="15">
                  <c:v>38</c:v>
                </c:pt>
                <c:pt idx="16">
                  <c:v>34</c:v>
                </c:pt>
                <c:pt idx="17">
                  <c:v>33</c:v>
                </c:pt>
                <c:pt idx="18">
                  <c:v>33</c:v>
                </c:pt>
                <c:pt idx="19">
                  <c:v>32</c:v>
                </c:pt>
              </c:numCache>
            </c:numRef>
          </c:val>
          <c:extLst>
            <c:ext xmlns:c16="http://schemas.microsoft.com/office/drawing/2014/chart" uri="{C3380CC4-5D6E-409C-BE32-E72D297353CC}">
              <c16:uniqueId val="{00000000-AE84-4648-8E1C-40E2433456E1}"/>
            </c:ext>
          </c:extLst>
        </c:ser>
        <c:dLbls>
          <c:dLblPos val="outEnd"/>
          <c:showLegendKey val="0"/>
          <c:showVal val="1"/>
          <c:showCatName val="0"/>
          <c:showSerName val="0"/>
          <c:showPercent val="0"/>
          <c:showBubbleSize val="0"/>
        </c:dLbls>
        <c:gapWidth val="100"/>
        <c:overlap val="-24"/>
        <c:axId val="512501760"/>
        <c:axId val="536362448"/>
      </c:barChart>
      <c:catAx>
        <c:axId val="5125017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362448"/>
        <c:crosses val="autoZero"/>
        <c:auto val="1"/>
        <c:lblAlgn val="ctr"/>
        <c:lblOffset val="100"/>
        <c:noMultiLvlLbl val="0"/>
      </c:catAx>
      <c:valAx>
        <c:axId val="536362448"/>
        <c:scaling>
          <c:orientation val="minMax"/>
        </c:scaling>
        <c:delete val="1"/>
        <c:axPos val="l"/>
        <c:numFmt formatCode="General" sourceLinked="1"/>
        <c:majorTickMark val="none"/>
        <c:minorTickMark val="none"/>
        <c:tickLblPos val="nextTo"/>
        <c:crossAx val="51250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[last version1.xlsx]Phase  Piovt 4!PivotTable3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'Phase  Piovt 4'!$J$3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'Phase  Piovt 4'!$I$4:$I$16</c:f>
              <c:strCache>
                <c:ptCount val="12"/>
                <c:pt idx="0">
                  <c:v>Netherlands</c:v>
                </c:pt>
                <c:pt idx="1">
                  <c:v>Germany</c:v>
                </c:pt>
                <c:pt idx="2">
                  <c:v>Italy</c:v>
                </c:pt>
                <c:pt idx="3">
                  <c:v>Belgium</c:v>
                </c:pt>
                <c:pt idx="4">
                  <c:v>Spain</c:v>
                </c:pt>
                <c:pt idx="5">
                  <c:v>India</c:v>
                </c:pt>
                <c:pt idx="6">
                  <c:v>China</c:v>
                </c:pt>
                <c:pt idx="7">
                  <c:v>Türkiye</c:v>
                </c:pt>
                <c:pt idx="8">
                  <c:v>Egypt</c:v>
                </c:pt>
                <c:pt idx="9">
                  <c:v>Israel</c:v>
                </c:pt>
                <c:pt idx="10">
                  <c:v>Korea, Republic of</c:v>
                </c:pt>
                <c:pt idx="11">
                  <c:v>South Africa</c:v>
                </c:pt>
              </c:strCache>
            </c:strRef>
          </c:cat>
          <c:val>
            <c:numRef>
              <c:f>'Phase  Piovt 4'!$J$4:$J$16</c:f>
              <c:numCache>
                <c:formatCode>General</c:formatCode>
                <c:ptCount val="12"/>
                <c:pt idx="0">
                  <c:v>585</c:v>
                </c:pt>
                <c:pt idx="1">
                  <c:v>660</c:v>
                </c:pt>
                <c:pt idx="2">
                  <c:v>825</c:v>
                </c:pt>
                <c:pt idx="3">
                  <c:v>863</c:v>
                </c:pt>
                <c:pt idx="4">
                  <c:v>1241</c:v>
                </c:pt>
                <c:pt idx="5">
                  <c:v>1616</c:v>
                </c:pt>
                <c:pt idx="6">
                  <c:v>2454</c:v>
                </c:pt>
                <c:pt idx="7">
                  <c:v>2489</c:v>
                </c:pt>
                <c:pt idx="8">
                  <c:v>2776</c:v>
                </c:pt>
                <c:pt idx="9">
                  <c:v>3515</c:v>
                </c:pt>
                <c:pt idx="10">
                  <c:v>6019</c:v>
                </c:pt>
                <c:pt idx="11">
                  <c:v>9298</c:v>
                </c:pt>
              </c:numCache>
            </c:numRef>
          </c:val>
          <c:extLst>
            <c:ext xmlns:c16="http://schemas.microsoft.com/office/drawing/2014/chart" uri="{C3380CC4-5D6E-409C-BE32-E72D297353CC}">
              <c16:uniqueId val="{00000000-DA29-4771-8BD1-D61C291C04F3}"/>
            </c:ext>
          </c:extLst>
        </c:ser>
        <c:dLbls>
          <c:showLegendKey val="0"/>
          <c:showVal val="0"/>
          <c:showCatName val="0"/>
          <c:showSerName val="0"/>
          <c:showPercent val="0"/>
          <c:showBubbleSize val="0"/>
        </c:dLbls>
        <c:gapWidth val="150"/>
        <c:overlap val="100"/>
        <c:axId val="247725344"/>
        <c:axId val="1458951183"/>
      </c:barChart>
      <c:catAx>
        <c:axId val="2477253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951183"/>
        <c:crosses val="autoZero"/>
        <c:auto val="1"/>
        <c:lblAlgn val="ctr"/>
        <c:lblOffset val="100"/>
        <c:noMultiLvlLbl val="0"/>
      </c:catAx>
      <c:valAx>
        <c:axId val="145895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72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version1.xlsx]Phase  Piovt 4!PivotTable1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'Phase  Piovt 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'Phase  Piovt 4'!$A$4:$A$15</c:f>
              <c:strCache>
                <c:ptCount val="11"/>
                <c:pt idx="0">
                  <c:v>Korea, Republic of</c:v>
                </c:pt>
                <c:pt idx="1">
                  <c:v>China</c:v>
                </c:pt>
                <c:pt idx="2">
                  <c:v>Israel</c:v>
                </c:pt>
                <c:pt idx="3">
                  <c:v>Belgium</c:v>
                </c:pt>
                <c:pt idx="4">
                  <c:v>Netherlands</c:v>
                </c:pt>
                <c:pt idx="5">
                  <c:v>South Africa</c:v>
                </c:pt>
                <c:pt idx="6">
                  <c:v>Türkiye</c:v>
                </c:pt>
                <c:pt idx="7">
                  <c:v>Italy</c:v>
                </c:pt>
                <c:pt idx="8">
                  <c:v>Spain</c:v>
                </c:pt>
                <c:pt idx="9">
                  <c:v>India</c:v>
                </c:pt>
                <c:pt idx="10">
                  <c:v>Germany</c:v>
                </c:pt>
              </c:strCache>
            </c:strRef>
          </c:cat>
          <c:val>
            <c:numRef>
              <c:f>'Phase  Piovt 4'!$B$4:$B$15</c:f>
              <c:numCache>
                <c:formatCode>General</c:formatCode>
                <c:ptCount val="11"/>
                <c:pt idx="0">
                  <c:v>1686</c:v>
                </c:pt>
                <c:pt idx="1">
                  <c:v>897</c:v>
                </c:pt>
                <c:pt idx="2">
                  <c:v>618</c:v>
                </c:pt>
                <c:pt idx="3">
                  <c:v>587</c:v>
                </c:pt>
                <c:pt idx="4">
                  <c:v>572</c:v>
                </c:pt>
                <c:pt idx="5">
                  <c:v>544</c:v>
                </c:pt>
                <c:pt idx="6">
                  <c:v>537</c:v>
                </c:pt>
                <c:pt idx="7">
                  <c:v>520</c:v>
                </c:pt>
                <c:pt idx="8">
                  <c:v>510</c:v>
                </c:pt>
                <c:pt idx="9">
                  <c:v>347</c:v>
                </c:pt>
                <c:pt idx="10">
                  <c:v>268</c:v>
                </c:pt>
              </c:numCache>
            </c:numRef>
          </c:val>
          <c:smooth val="0"/>
          <c:extLst>
            <c:ext xmlns:c16="http://schemas.microsoft.com/office/drawing/2014/chart" uri="{C3380CC4-5D6E-409C-BE32-E72D297353CC}">
              <c16:uniqueId val="{00000000-1222-41A6-9A59-BFDF6C985003}"/>
            </c:ext>
          </c:extLst>
        </c:ser>
        <c:dLbls>
          <c:showLegendKey val="0"/>
          <c:showVal val="0"/>
          <c:showCatName val="0"/>
          <c:showSerName val="0"/>
          <c:showPercent val="0"/>
          <c:showBubbleSize val="0"/>
        </c:dLbls>
        <c:marker val="1"/>
        <c:smooth val="0"/>
        <c:axId val="247629296"/>
        <c:axId val="1459033743"/>
      </c:lineChart>
      <c:catAx>
        <c:axId val="24762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033743"/>
        <c:crosses val="autoZero"/>
        <c:auto val="1"/>
        <c:lblAlgn val="ctr"/>
        <c:lblOffset val="100"/>
        <c:noMultiLvlLbl val="0"/>
      </c:catAx>
      <c:valAx>
        <c:axId val="145903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62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[last version1.xlsx]Phase  Piovt 4!PivotTable2</c:name>
    <c:fmtId val="0"/>
  </c:pivotSource>
  <c:chart>
    <c:title>
      <c:layout>
        <c:manualLayout>
          <c:xMode val="edge"/>
          <c:yMode val="edge"/>
          <c:x val="0.3960389488658293"/>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AAE7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a:outerShdw blurRad="57150" dist="19050" dir="5400000" algn="ctr" rotWithShape="0">
              <a:srgbClr val="000000">
                <a:alpha val="63000"/>
              </a:srgbClr>
            </a:outerShdw>
          </a:effectLst>
        </c:spPr>
      </c:pivotFmt>
      <c:pivotFmt>
        <c:idx val="2"/>
        <c:spPr>
          <a:solidFill>
            <a:srgbClr val="AAAE7F"/>
          </a:solidFill>
          <a:ln>
            <a:noFill/>
          </a:ln>
          <a:effectLst>
            <a:outerShdw blurRad="57150" dist="19050" dir="5400000" algn="ctr" rotWithShape="0">
              <a:srgbClr val="000000">
                <a:alpha val="63000"/>
              </a:srgbClr>
            </a:outerShdw>
          </a:effectLst>
        </c:spPr>
      </c:pivotFmt>
      <c:pivotFmt>
        <c:idx val="3"/>
        <c:spPr>
          <a:solidFill>
            <a:srgbClr val="AAAE7F"/>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7470078244625229"/>
          <c:y val="9.6452657969124236E-2"/>
          <c:w val="0.63676461587313882"/>
          <c:h val="0.78897823903347852"/>
        </c:manualLayout>
      </c:layout>
      <c:barChart>
        <c:barDir val="bar"/>
        <c:grouping val="stacked"/>
        <c:varyColors val="0"/>
        <c:ser>
          <c:idx val="0"/>
          <c:order val="0"/>
          <c:tx>
            <c:strRef>
              <c:f>'Phase  Piovt 4'!$B$24</c:f>
              <c:strCache>
                <c:ptCount val="1"/>
                <c:pt idx="0">
                  <c:v>Total</c:v>
                </c:pt>
              </c:strCache>
            </c:strRef>
          </c:tx>
          <c:spPr>
            <a:solidFill>
              <a:srgbClr val="AAAE7F"/>
            </a:solidFill>
            <a:ln>
              <a:noFill/>
            </a:ln>
            <a:effectLst>
              <a:outerShdw blurRad="57150" dist="19050" dir="5400000" algn="ctr" rotWithShape="0">
                <a:srgbClr val="000000">
                  <a:alpha val="63000"/>
                </a:srgbClr>
              </a:outerShdw>
            </a:effectLst>
          </c:spPr>
          <c:invertIfNegative val="0"/>
          <c:dPt>
            <c:idx val="11"/>
            <c:invertIfNegative val="0"/>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80AF-43A6-9231-C7D0671EB8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  Piovt 4'!$A$25:$A$37</c:f>
              <c:strCache>
                <c:ptCount val="12"/>
                <c:pt idx="0">
                  <c:v>Germany</c:v>
                </c:pt>
                <c:pt idx="1">
                  <c:v>India</c:v>
                </c:pt>
                <c:pt idx="2">
                  <c:v>Spain</c:v>
                </c:pt>
                <c:pt idx="3">
                  <c:v>Italy</c:v>
                </c:pt>
                <c:pt idx="4">
                  <c:v>Türkiye</c:v>
                </c:pt>
                <c:pt idx="5">
                  <c:v>South Africa</c:v>
                </c:pt>
                <c:pt idx="6">
                  <c:v>Netherlands</c:v>
                </c:pt>
                <c:pt idx="7">
                  <c:v>Belgium</c:v>
                </c:pt>
                <c:pt idx="8">
                  <c:v>Egypt</c:v>
                </c:pt>
                <c:pt idx="9">
                  <c:v>Israel</c:v>
                </c:pt>
                <c:pt idx="10">
                  <c:v>China</c:v>
                </c:pt>
                <c:pt idx="11">
                  <c:v>Korea, Republic of</c:v>
                </c:pt>
              </c:strCache>
            </c:strRef>
          </c:cat>
          <c:val>
            <c:numRef>
              <c:f>'Phase  Piovt 4'!$B$25:$B$37</c:f>
              <c:numCache>
                <c:formatCode>General</c:formatCode>
                <c:ptCount val="12"/>
                <c:pt idx="0">
                  <c:v>272.82400000000001</c:v>
                </c:pt>
                <c:pt idx="1">
                  <c:v>367.47299999999996</c:v>
                </c:pt>
                <c:pt idx="2">
                  <c:v>519.18000000000006</c:v>
                </c:pt>
                <c:pt idx="3">
                  <c:v>529.36</c:v>
                </c:pt>
                <c:pt idx="4">
                  <c:v>551.49899999999991</c:v>
                </c:pt>
                <c:pt idx="5">
                  <c:v>566.30399999999997</c:v>
                </c:pt>
                <c:pt idx="6">
                  <c:v>582.29600000000005</c:v>
                </c:pt>
                <c:pt idx="7">
                  <c:v>597.56600000000003</c:v>
                </c:pt>
                <c:pt idx="8">
                  <c:v>610</c:v>
                </c:pt>
                <c:pt idx="9">
                  <c:v>629.12400000000002</c:v>
                </c:pt>
                <c:pt idx="10">
                  <c:v>949.923</c:v>
                </c:pt>
                <c:pt idx="11">
                  <c:v>1738.2659999999998</c:v>
                </c:pt>
              </c:numCache>
            </c:numRef>
          </c:val>
          <c:extLst>
            <c:ext xmlns:c16="http://schemas.microsoft.com/office/drawing/2014/chart" uri="{C3380CC4-5D6E-409C-BE32-E72D297353CC}">
              <c16:uniqueId val="{00000000-E301-4C35-8F98-399A74FB3AFC}"/>
            </c:ext>
          </c:extLst>
        </c:ser>
        <c:dLbls>
          <c:dLblPos val="inEnd"/>
          <c:showLegendKey val="0"/>
          <c:showVal val="1"/>
          <c:showCatName val="0"/>
          <c:showSerName val="0"/>
          <c:showPercent val="0"/>
          <c:showBubbleSize val="0"/>
        </c:dLbls>
        <c:gapWidth val="150"/>
        <c:overlap val="100"/>
        <c:axId val="247491952"/>
        <c:axId val="1458982383"/>
      </c:barChart>
      <c:valAx>
        <c:axId val="1458982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491952"/>
        <c:crosses val="autoZero"/>
        <c:crossBetween val="between"/>
      </c:valAx>
      <c:catAx>
        <c:axId val="2474919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4589823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version1.xlsx]Phase  Piovt 4!PivotTable4</c:name>
    <c:fmtId val="5"/>
  </c:pivotSource>
  <c:chart>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2"/>
          </a:solidFill>
          <a:ln>
            <a:noFill/>
          </a:ln>
          <a:effectLst>
            <a:outerShdw blurRad="317500" algn="ctr" rotWithShape="0">
              <a:prstClr val="black">
                <a:alpha val="25000"/>
              </a:prstClr>
            </a:outerShdw>
          </a:effectLst>
        </c:spPr>
      </c:pivotFmt>
      <c:pivotFmt>
        <c:idx val="14"/>
        <c:spPr>
          <a:solidFill>
            <a:schemeClr val="accent2"/>
          </a:solidFill>
          <a:ln>
            <a:noFill/>
          </a:ln>
          <a:effectLst>
            <a:outerShdw blurRad="317500" algn="ctr" rotWithShape="0">
              <a:prstClr val="black">
                <a:alpha val="25000"/>
              </a:prstClr>
            </a:outerShdw>
          </a:effectLst>
        </c:spPr>
      </c:pivotFmt>
      <c:pivotFmt>
        <c:idx val="15"/>
        <c:spPr>
          <a:solidFill>
            <a:schemeClr val="accent2"/>
          </a:solidFill>
          <a:ln>
            <a:noFill/>
          </a:ln>
          <a:effectLst>
            <a:outerShdw blurRad="317500" algn="ctr" rotWithShape="0">
              <a:prstClr val="black">
                <a:alpha val="25000"/>
              </a:prstClr>
            </a:outerShdw>
          </a:effectLst>
        </c:spPr>
      </c:pivotFmt>
      <c:pivotFmt>
        <c:idx val="16"/>
        <c:spPr>
          <a:solidFill>
            <a:schemeClr val="accent2"/>
          </a:solidFill>
          <a:ln>
            <a:noFill/>
          </a:ln>
          <a:effectLst>
            <a:outerShdw blurRad="317500" algn="ctr" rotWithShape="0">
              <a:prstClr val="black">
                <a:alpha val="25000"/>
              </a:prstClr>
            </a:outerShdw>
          </a:effectLst>
        </c:spPr>
      </c:pivotFmt>
      <c:pivotFmt>
        <c:idx val="17"/>
        <c:spPr>
          <a:solidFill>
            <a:schemeClr val="accent2"/>
          </a:solidFill>
          <a:ln>
            <a:noFill/>
          </a:ln>
          <a:effectLst>
            <a:outerShdw blurRad="317500" algn="ctr" rotWithShape="0">
              <a:prstClr val="black">
                <a:alpha val="25000"/>
              </a:prstClr>
            </a:outerShdw>
          </a:effectLst>
        </c:spPr>
      </c:pivotFmt>
      <c:pivotFmt>
        <c:idx val="18"/>
        <c:spPr>
          <a:solidFill>
            <a:schemeClr val="accent2"/>
          </a:solidFill>
          <a:ln>
            <a:noFill/>
          </a:ln>
          <a:effectLst>
            <a:outerShdw blurRad="317500" algn="ctr" rotWithShape="0">
              <a:prstClr val="black">
                <a:alpha val="25000"/>
              </a:prstClr>
            </a:outerShdw>
          </a:effectLst>
        </c:spPr>
      </c:pivotFmt>
      <c:pivotFmt>
        <c:idx val="19"/>
        <c:spPr>
          <a:solidFill>
            <a:schemeClr val="accent2"/>
          </a:solidFill>
          <a:ln>
            <a:noFill/>
          </a:ln>
          <a:effectLst>
            <a:outerShdw blurRad="317500" algn="ctr" rotWithShape="0">
              <a:prstClr val="black">
                <a:alpha val="25000"/>
              </a:prstClr>
            </a:outerShdw>
          </a:effectLst>
        </c:spPr>
      </c:pivotFmt>
      <c:pivotFmt>
        <c:idx val="20"/>
        <c:spPr>
          <a:solidFill>
            <a:schemeClr val="accent2"/>
          </a:solidFill>
          <a:ln>
            <a:noFill/>
          </a:ln>
          <a:effectLst>
            <a:outerShdw blurRad="317500" algn="ctr" rotWithShape="0">
              <a:prstClr val="black">
                <a:alpha val="25000"/>
              </a:prstClr>
            </a:outerShdw>
          </a:effectLst>
        </c:spPr>
      </c:pivotFmt>
      <c:pivotFmt>
        <c:idx val="21"/>
        <c:spPr>
          <a:solidFill>
            <a:schemeClr val="accent2"/>
          </a:solidFill>
          <a:ln>
            <a:noFill/>
          </a:ln>
          <a:effectLst>
            <a:outerShdw blurRad="317500" algn="ctr" rotWithShape="0">
              <a:prstClr val="black">
                <a:alpha val="25000"/>
              </a:prstClr>
            </a:outerShdw>
          </a:effectLst>
        </c:spPr>
      </c:pivotFmt>
      <c:pivotFmt>
        <c:idx val="22"/>
        <c:spPr>
          <a:solidFill>
            <a:schemeClr val="accent2"/>
          </a:solidFill>
          <a:ln>
            <a:noFill/>
          </a:ln>
          <a:effectLst>
            <a:outerShdw blurRad="317500" algn="ctr" rotWithShape="0">
              <a:prstClr val="black">
                <a:alpha val="25000"/>
              </a:prstClr>
            </a:outerShdw>
          </a:effectLst>
        </c:spPr>
      </c:pivotFmt>
      <c:pivotFmt>
        <c:idx val="23"/>
        <c:spPr>
          <a:solidFill>
            <a:schemeClr val="accent2"/>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24750555678086E-2"/>
          <c:y val="5.5047592327855104E-2"/>
          <c:w val="0.91955577449572956"/>
          <c:h val="0.73990465772770475"/>
        </c:manualLayout>
      </c:layout>
      <c:areaChart>
        <c:grouping val="stacked"/>
        <c:varyColors val="0"/>
        <c:ser>
          <c:idx val="0"/>
          <c:order val="0"/>
          <c:tx>
            <c:strRef>
              <c:f>'Phase  Piovt 4'!$J$25:$J$26</c:f>
              <c:strCache>
                <c:ptCount val="1"/>
                <c:pt idx="0">
                  <c:v>No</c:v>
                </c:pt>
              </c:strCache>
            </c:strRef>
          </c:tx>
          <c:spPr>
            <a:solidFill>
              <a:schemeClr val="accent1"/>
            </a:solidFill>
            <a:ln>
              <a:noFill/>
            </a:ln>
            <a:effectLst>
              <a:outerShdw blurRad="317500" algn="ctr" rotWithShape="0">
                <a:prstClr val="black">
                  <a:alpha val="25000"/>
                </a:prstClr>
              </a:outerShdw>
            </a:effectLst>
          </c:spPr>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F9B-463B-8C14-E591C186BCC5}"/>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F9B-463B-8C14-E591C186BCC5}"/>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F9B-463B-8C14-E591C186BCC5}"/>
              </c:ext>
            </c:extLst>
          </c:dPt>
          <c:dPt>
            <c:idx val="3"/>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F9B-463B-8C14-E591C186BCC5}"/>
              </c:ext>
            </c:extLst>
          </c:dPt>
          <c:dPt>
            <c:idx val="4"/>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F9B-463B-8C14-E591C186BCC5}"/>
              </c:ext>
            </c:extLst>
          </c:dPt>
          <c:dPt>
            <c:idx val="5"/>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F9B-463B-8C14-E591C186BCC5}"/>
              </c:ext>
            </c:extLst>
          </c:dPt>
          <c:dPt>
            <c:idx val="6"/>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BF9B-463B-8C14-E591C186BCC5}"/>
              </c:ext>
            </c:extLst>
          </c:dPt>
          <c:dPt>
            <c:idx val="7"/>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BF9B-463B-8C14-E591C186BCC5}"/>
              </c:ext>
            </c:extLst>
          </c:dPt>
          <c:dPt>
            <c:idx val="8"/>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BF9B-463B-8C14-E591C186BCC5}"/>
              </c:ext>
            </c:extLst>
          </c:dPt>
          <c:dPt>
            <c:idx val="9"/>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BF9B-463B-8C14-E591C186BCC5}"/>
              </c:ext>
            </c:extLst>
          </c:dPt>
          <c:dPt>
            <c:idx val="1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BF9B-463B-8C14-E591C186BCC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'Phase  Piovt 4'!$I$27:$I$39</c:f>
              <c:strCache>
                <c:ptCount val="12"/>
                <c:pt idx="0">
                  <c:v>Belgium</c:v>
                </c:pt>
                <c:pt idx="1">
                  <c:v>China</c:v>
                </c:pt>
                <c:pt idx="2">
                  <c:v>Germany</c:v>
                </c:pt>
                <c:pt idx="3">
                  <c:v>India</c:v>
                </c:pt>
                <c:pt idx="4">
                  <c:v>Israel</c:v>
                </c:pt>
                <c:pt idx="5">
                  <c:v>Italy</c:v>
                </c:pt>
                <c:pt idx="6">
                  <c:v>Korea, Republic of</c:v>
                </c:pt>
                <c:pt idx="7">
                  <c:v>Netherlands</c:v>
                </c:pt>
                <c:pt idx="8">
                  <c:v>South Africa</c:v>
                </c:pt>
                <c:pt idx="9">
                  <c:v>Spain</c:v>
                </c:pt>
                <c:pt idx="10">
                  <c:v>Türkiye</c:v>
                </c:pt>
                <c:pt idx="11">
                  <c:v>Egypt</c:v>
                </c:pt>
              </c:strCache>
            </c:strRef>
          </c:cat>
          <c:val>
            <c:numRef>
              <c:f>'Phase  Piovt 4'!$J$27:$J$39</c:f>
              <c:numCache>
                <c:formatCode>General</c:formatCode>
                <c:ptCount val="12"/>
                <c:pt idx="1">
                  <c:v>1</c:v>
                </c:pt>
                <c:pt idx="3">
                  <c:v>1</c:v>
                </c:pt>
                <c:pt idx="6">
                  <c:v>1</c:v>
                </c:pt>
                <c:pt idx="8">
                  <c:v>1</c:v>
                </c:pt>
                <c:pt idx="10">
                  <c:v>1</c:v>
                </c:pt>
              </c:numCache>
            </c:numRef>
          </c:val>
          <c:extLst>
            <c:ext xmlns:c16="http://schemas.microsoft.com/office/drawing/2014/chart" uri="{C3380CC4-5D6E-409C-BE32-E72D297353CC}">
              <c16:uniqueId val="{00000000-C506-4D04-9AFE-24D4BDDD6ECF}"/>
            </c:ext>
          </c:extLst>
        </c:ser>
        <c:ser>
          <c:idx val="1"/>
          <c:order val="1"/>
          <c:tx>
            <c:strRef>
              <c:f>'Phase  Piovt 4'!$K$25:$K$26</c:f>
              <c:strCache>
                <c:ptCount val="1"/>
                <c:pt idx="0">
                  <c:v>Yes</c:v>
                </c:pt>
              </c:strCache>
            </c:strRef>
          </c:tx>
          <c:spPr>
            <a:solidFill>
              <a:schemeClr val="accent2"/>
            </a:solidFill>
            <a:ln w="25400">
              <a:noFill/>
            </a:ln>
            <a:effectLst>
              <a:outerShdw blurRad="317500" algn="ctr" rotWithShape="0">
                <a:prstClr val="black">
                  <a:alpha val="25000"/>
                </a:prstClr>
              </a:outerShdw>
            </a:effectLst>
          </c:spPr>
          <c:dPt>
            <c:idx val="0"/>
            <c:bubble3D val="0"/>
            <c:spPr>
              <a:solidFill>
                <a:schemeClr val="accent2"/>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2"/>
              </a:solidFill>
              <a:ln>
                <a:noFill/>
              </a:ln>
              <a:effectLst>
                <a:outerShdw blurRad="317500" algn="ctr" rotWithShape="0">
                  <a:prstClr val="black">
                    <a:alpha val="25000"/>
                  </a:prstClr>
                </a:outerShdw>
              </a:effectLst>
            </c:spPr>
          </c:dPt>
          <c:dPt>
            <c:idx val="3"/>
            <c:bubble3D val="0"/>
            <c:spPr>
              <a:solidFill>
                <a:schemeClr val="accent2"/>
              </a:solidFill>
              <a:ln>
                <a:noFill/>
              </a:ln>
              <a:effectLst>
                <a:outerShdw blurRad="317500" algn="ctr" rotWithShape="0">
                  <a:prstClr val="black">
                    <a:alpha val="25000"/>
                  </a:prstClr>
                </a:outerShdw>
              </a:effectLst>
            </c:spPr>
          </c:dPt>
          <c:dPt>
            <c:idx val="4"/>
            <c:bubble3D val="0"/>
            <c:spPr>
              <a:solidFill>
                <a:schemeClr val="accent2"/>
              </a:solidFill>
              <a:ln>
                <a:noFill/>
              </a:ln>
              <a:effectLst>
                <a:outerShdw blurRad="317500" algn="ctr" rotWithShape="0">
                  <a:prstClr val="black">
                    <a:alpha val="25000"/>
                  </a:prstClr>
                </a:outerShdw>
              </a:effectLst>
            </c:spPr>
          </c:dPt>
          <c:dPt>
            <c:idx val="5"/>
            <c:bubble3D val="0"/>
            <c:spPr>
              <a:solidFill>
                <a:schemeClr val="accent2"/>
              </a:solidFill>
              <a:ln>
                <a:noFill/>
              </a:ln>
              <a:effectLst>
                <a:outerShdw blurRad="317500" algn="ctr" rotWithShape="0">
                  <a:prstClr val="black">
                    <a:alpha val="25000"/>
                  </a:prstClr>
                </a:outerShdw>
              </a:effectLst>
            </c:spPr>
          </c:dPt>
          <c:dPt>
            <c:idx val="6"/>
            <c:bubble3D val="0"/>
            <c:spPr>
              <a:solidFill>
                <a:schemeClr val="accent2"/>
              </a:solidFill>
              <a:ln>
                <a:noFill/>
              </a:ln>
              <a:effectLst>
                <a:outerShdw blurRad="317500" algn="ctr" rotWithShape="0">
                  <a:prstClr val="black">
                    <a:alpha val="25000"/>
                  </a:prstClr>
                </a:outerShdw>
              </a:effectLst>
            </c:spPr>
          </c:dPt>
          <c:dPt>
            <c:idx val="7"/>
            <c:bubble3D val="0"/>
            <c:spPr>
              <a:solidFill>
                <a:schemeClr val="accent2"/>
              </a:solidFill>
              <a:ln>
                <a:noFill/>
              </a:ln>
              <a:effectLst>
                <a:outerShdw blurRad="317500" algn="ctr" rotWithShape="0">
                  <a:prstClr val="black">
                    <a:alpha val="25000"/>
                  </a:prstClr>
                </a:outerShdw>
              </a:effectLst>
            </c:spPr>
          </c:dPt>
          <c:dPt>
            <c:idx val="8"/>
            <c:bubble3D val="0"/>
            <c:spPr>
              <a:solidFill>
                <a:schemeClr val="accent2"/>
              </a:solidFill>
              <a:ln>
                <a:noFill/>
              </a:ln>
              <a:effectLst>
                <a:outerShdw blurRad="317500" algn="ctr" rotWithShape="0">
                  <a:prstClr val="black">
                    <a:alpha val="25000"/>
                  </a:prstClr>
                </a:outerShdw>
              </a:effectLst>
            </c:spPr>
          </c:dPt>
          <c:dPt>
            <c:idx val="9"/>
            <c:bubble3D val="0"/>
            <c:spPr>
              <a:solidFill>
                <a:schemeClr val="accent2"/>
              </a:solidFill>
              <a:ln>
                <a:noFill/>
              </a:ln>
              <a:effectLst>
                <a:outerShdw blurRad="317500" algn="ctr" rotWithShape="0">
                  <a:prstClr val="black">
                    <a:alpha val="25000"/>
                  </a:prstClr>
                </a:outerShdw>
              </a:effectLst>
            </c:spPr>
          </c:dPt>
          <c:dPt>
            <c:idx val="10"/>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'Phase  Piovt 4'!$I$27:$I$39</c:f>
              <c:strCache>
                <c:ptCount val="12"/>
                <c:pt idx="0">
                  <c:v>Belgium</c:v>
                </c:pt>
                <c:pt idx="1">
                  <c:v>China</c:v>
                </c:pt>
                <c:pt idx="2">
                  <c:v>Germany</c:v>
                </c:pt>
                <c:pt idx="3">
                  <c:v>India</c:v>
                </c:pt>
                <c:pt idx="4">
                  <c:v>Israel</c:v>
                </c:pt>
                <c:pt idx="5">
                  <c:v>Italy</c:v>
                </c:pt>
                <c:pt idx="6">
                  <c:v>Korea, Republic of</c:v>
                </c:pt>
                <c:pt idx="7">
                  <c:v>Netherlands</c:v>
                </c:pt>
                <c:pt idx="8">
                  <c:v>South Africa</c:v>
                </c:pt>
                <c:pt idx="9">
                  <c:v>Spain</c:v>
                </c:pt>
                <c:pt idx="10">
                  <c:v>Türkiye</c:v>
                </c:pt>
                <c:pt idx="11">
                  <c:v>Egypt</c:v>
                </c:pt>
              </c:strCache>
            </c:strRef>
          </c:cat>
          <c:val>
            <c:numRef>
              <c:f>'Phase  Piovt 4'!$K$27:$K$39</c:f>
              <c:numCache>
                <c:formatCode>General</c:formatCode>
                <c:ptCount val="12"/>
                <c:pt idx="0">
                  <c:v>1</c:v>
                </c:pt>
                <c:pt idx="2">
                  <c:v>1</c:v>
                </c:pt>
                <c:pt idx="4">
                  <c:v>1</c:v>
                </c:pt>
                <c:pt idx="5">
                  <c:v>1</c:v>
                </c:pt>
                <c:pt idx="7">
                  <c:v>1</c:v>
                </c:pt>
                <c:pt idx="9">
                  <c:v>1</c:v>
                </c:pt>
                <c:pt idx="11">
                  <c:v>1</c:v>
                </c:pt>
              </c:numCache>
            </c:numRef>
          </c:val>
          <c:extLst>
            <c:ext xmlns:c16="http://schemas.microsoft.com/office/drawing/2014/chart" uri="{C3380CC4-5D6E-409C-BE32-E72D297353CC}">
              <c16:uniqueId val="{0000002C-AB13-4358-8272-02135DB842C7}"/>
            </c:ext>
          </c:extLst>
        </c:ser>
        <c:dLbls>
          <c:showLegendKey val="0"/>
          <c:showVal val="0"/>
          <c:showCatName val="0"/>
          <c:showSerName val="0"/>
          <c:showPercent val="0"/>
          <c:showBubbleSize val="0"/>
        </c:dLbls>
        <c:axId val="373053632"/>
        <c:axId val="441240240"/>
      </c:areaChart>
      <c:catAx>
        <c:axId val="3730536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41240240"/>
        <c:crosses val="autoZero"/>
        <c:auto val="1"/>
        <c:lblAlgn val="ctr"/>
        <c:lblOffset val="100"/>
        <c:noMultiLvlLbl val="0"/>
      </c:catAx>
      <c:valAx>
        <c:axId val="4412402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7305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[last version1.xlsx]Piovt phase 5!PivotTable1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0555555555555555E-2"/>
          <c:y val="7.1898148148148155E-2"/>
          <c:w val="0.90103368328958877"/>
          <c:h val="0.4898862642169729"/>
        </c:manualLayout>
      </c:layout>
      <c:barChart>
        <c:barDir val="col"/>
        <c:grouping val="clustered"/>
        <c:varyColors val="0"/>
        <c:ser>
          <c:idx val="0"/>
          <c:order val="0"/>
          <c:tx>
            <c:strRef>
              <c:f>'Piovt phase 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29A1-4B6F-A231-5812C694D782}"/>
              </c:ext>
            </c:extLst>
          </c:dPt>
          <c:dPt>
            <c:idx val="1"/>
            <c:invertIfNegative val="0"/>
            <c:bubble3D val="0"/>
            <c:extLst>
              <c:ext xmlns:c16="http://schemas.microsoft.com/office/drawing/2014/chart" uri="{C3380CC4-5D6E-409C-BE32-E72D297353CC}">
                <c16:uniqueId val="{00000003-29A1-4B6F-A231-5812C694D782}"/>
              </c:ext>
            </c:extLst>
          </c:dPt>
          <c:dPt>
            <c:idx val="2"/>
            <c:invertIfNegative val="0"/>
            <c:bubble3D val="0"/>
            <c:extLst>
              <c:ext xmlns:c16="http://schemas.microsoft.com/office/drawing/2014/chart" uri="{C3380CC4-5D6E-409C-BE32-E72D297353CC}">
                <c16:uniqueId val="{00000005-29A1-4B6F-A231-5812C694D782}"/>
              </c:ext>
            </c:extLst>
          </c:dPt>
          <c:dPt>
            <c:idx val="3"/>
            <c:invertIfNegative val="0"/>
            <c:bubble3D val="0"/>
            <c:extLst>
              <c:ext xmlns:c16="http://schemas.microsoft.com/office/drawing/2014/chart" uri="{C3380CC4-5D6E-409C-BE32-E72D297353CC}">
                <c16:uniqueId val="{00000007-29A1-4B6F-A231-5812C694D782}"/>
              </c:ext>
            </c:extLst>
          </c:dPt>
          <c:dPt>
            <c:idx val="4"/>
            <c:invertIfNegative val="0"/>
            <c:bubble3D val="0"/>
            <c:extLst>
              <c:ext xmlns:c16="http://schemas.microsoft.com/office/drawing/2014/chart" uri="{C3380CC4-5D6E-409C-BE32-E72D297353CC}">
                <c16:uniqueId val="{00000009-29A1-4B6F-A231-5812C694D782}"/>
              </c:ext>
            </c:extLst>
          </c:dPt>
          <c:dPt>
            <c:idx val="5"/>
            <c:invertIfNegative val="0"/>
            <c:bubble3D val="0"/>
            <c:extLst>
              <c:ext xmlns:c16="http://schemas.microsoft.com/office/drawing/2014/chart" uri="{C3380CC4-5D6E-409C-BE32-E72D297353CC}">
                <c16:uniqueId val="{0000000B-29A1-4B6F-A231-5812C694D782}"/>
              </c:ext>
            </c:extLst>
          </c:dPt>
          <c:dPt>
            <c:idx val="6"/>
            <c:invertIfNegative val="0"/>
            <c:bubble3D val="0"/>
            <c:extLst>
              <c:ext xmlns:c16="http://schemas.microsoft.com/office/drawing/2014/chart" uri="{C3380CC4-5D6E-409C-BE32-E72D297353CC}">
                <c16:uniqueId val="{0000000D-29A1-4B6F-A231-5812C694D782}"/>
              </c:ext>
            </c:extLst>
          </c:dPt>
          <c:dPt>
            <c:idx val="7"/>
            <c:invertIfNegative val="0"/>
            <c:bubble3D val="0"/>
            <c:extLst>
              <c:ext xmlns:c16="http://schemas.microsoft.com/office/drawing/2014/chart" uri="{C3380CC4-5D6E-409C-BE32-E72D297353CC}">
                <c16:uniqueId val="{0000000F-29A1-4B6F-A231-5812C694D782}"/>
              </c:ext>
            </c:extLst>
          </c:dPt>
          <c:dPt>
            <c:idx val="8"/>
            <c:invertIfNegative val="0"/>
            <c:bubble3D val="0"/>
            <c:extLst>
              <c:ext xmlns:c16="http://schemas.microsoft.com/office/drawing/2014/chart" uri="{C3380CC4-5D6E-409C-BE32-E72D297353CC}">
                <c16:uniqueId val="{00000011-29A1-4B6F-A231-5812C694D782}"/>
              </c:ext>
            </c:extLst>
          </c:dPt>
          <c:dPt>
            <c:idx val="9"/>
            <c:invertIfNegative val="0"/>
            <c:bubble3D val="0"/>
            <c:extLst>
              <c:ext xmlns:c16="http://schemas.microsoft.com/office/drawing/2014/chart" uri="{C3380CC4-5D6E-409C-BE32-E72D297353CC}">
                <c16:uniqueId val="{00000013-29A1-4B6F-A231-5812C694D782}"/>
              </c:ext>
            </c:extLst>
          </c:dPt>
          <c:dPt>
            <c:idx val="10"/>
            <c:invertIfNegative val="0"/>
            <c:bubble3D val="0"/>
            <c:extLst>
              <c:ext xmlns:c16="http://schemas.microsoft.com/office/drawing/2014/chart" uri="{C3380CC4-5D6E-409C-BE32-E72D297353CC}">
                <c16:uniqueId val="{00000015-29A1-4B6F-A231-5812C694D782}"/>
              </c:ext>
            </c:extLst>
          </c:dPt>
          <c:dPt>
            <c:idx val="11"/>
            <c:invertIfNegative val="0"/>
            <c:bubble3D val="0"/>
            <c:extLst>
              <c:ext xmlns:c16="http://schemas.microsoft.com/office/drawing/2014/chart" uri="{C3380CC4-5D6E-409C-BE32-E72D297353CC}">
                <c16:uniqueId val="{00000017-29A1-4B6F-A231-5812C694D782}"/>
              </c:ext>
            </c:extLst>
          </c:dPt>
          <c:dPt>
            <c:idx val="12"/>
            <c:invertIfNegative val="0"/>
            <c:bubble3D val="0"/>
            <c:extLst>
              <c:ext xmlns:c16="http://schemas.microsoft.com/office/drawing/2014/chart" uri="{C3380CC4-5D6E-409C-BE32-E72D297353CC}">
                <c16:uniqueId val="{00000019-29A1-4B6F-A231-5812C694D782}"/>
              </c:ext>
            </c:extLst>
          </c:dPt>
          <c:dPt>
            <c:idx val="13"/>
            <c:invertIfNegative val="0"/>
            <c:bubble3D val="0"/>
            <c:extLst>
              <c:ext xmlns:c16="http://schemas.microsoft.com/office/drawing/2014/chart" uri="{C3380CC4-5D6E-409C-BE32-E72D297353CC}">
                <c16:uniqueId val="{0000001B-29A1-4B6F-A231-5812C694D782}"/>
              </c:ext>
            </c:extLst>
          </c:dPt>
          <c:dPt>
            <c:idx val="14"/>
            <c:invertIfNegative val="0"/>
            <c:bubble3D val="0"/>
            <c:extLst>
              <c:ext xmlns:c16="http://schemas.microsoft.com/office/drawing/2014/chart" uri="{C3380CC4-5D6E-409C-BE32-E72D297353CC}">
                <c16:uniqueId val="{0000001D-29A1-4B6F-A231-5812C694D782}"/>
              </c:ext>
            </c:extLst>
          </c:dPt>
          <c:dPt>
            <c:idx val="15"/>
            <c:invertIfNegative val="0"/>
            <c:bubble3D val="0"/>
            <c:extLst>
              <c:ext xmlns:c16="http://schemas.microsoft.com/office/drawing/2014/chart" uri="{C3380CC4-5D6E-409C-BE32-E72D297353CC}">
                <c16:uniqueId val="{0000001F-29A1-4B6F-A231-5812C694D7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phase 5'!$A$4:$A$14</c:f>
              <c:strCache>
                <c:ptCount val="10"/>
                <c:pt idx="0">
                  <c:v>Algeria</c:v>
                </c:pt>
                <c:pt idx="1">
                  <c:v>Azerbaijan</c:v>
                </c:pt>
                <c:pt idx="2">
                  <c:v>Congo, Democratic Republic of the</c:v>
                </c:pt>
                <c:pt idx="3">
                  <c:v>Israel</c:v>
                </c:pt>
                <c:pt idx="4">
                  <c:v>Jordan</c:v>
                </c:pt>
                <c:pt idx="5">
                  <c:v>Kenya</c:v>
                </c:pt>
                <c:pt idx="6">
                  <c:v>Türkiye</c:v>
                </c:pt>
                <c:pt idx="7">
                  <c:v>Uganda</c:v>
                </c:pt>
                <c:pt idx="8">
                  <c:v>United Arab Emirates</c:v>
                </c:pt>
                <c:pt idx="9">
                  <c:v>Zimbabwe</c:v>
                </c:pt>
              </c:strCache>
            </c:strRef>
          </c:cat>
          <c:val>
            <c:numRef>
              <c:f>'Piovt phase 5'!$B$4:$B$14</c:f>
              <c:numCache>
                <c:formatCode>0</c:formatCode>
                <c:ptCount val="10"/>
                <c:pt idx="0">
                  <c:v>7.3895768537213513</c:v>
                </c:pt>
                <c:pt idx="1">
                  <c:v>6.9404532982061333</c:v>
                </c:pt>
                <c:pt idx="2">
                  <c:v>6.9086918387115244</c:v>
                </c:pt>
                <c:pt idx="3">
                  <c:v>8.989203084832905</c:v>
                </c:pt>
                <c:pt idx="4">
                  <c:v>8.0699431899018528</c:v>
                </c:pt>
                <c:pt idx="5">
                  <c:v>6.4272800818826195</c:v>
                </c:pt>
                <c:pt idx="6">
                  <c:v>7.4820772559956481</c:v>
                </c:pt>
                <c:pt idx="7">
                  <c:v>6.6025296320615325</c:v>
                </c:pt>
                <c:pt idx="8">
                  <c:v>6.8815677149854357</c:v>
                </c:pt>
                <c:pt idx="9">
                  <c:v>6.583322610725145</c:v>
                </c:pt>
              </c:numCache>
            </c:numRef>
          </c:val>
          <c:extLst>
            <c:ext xmlns:c16="http://schemas.microsoft.com/office/drawing/2014/chart" uri="{C3380CC4-5D6E-409C-BE32-E72D297353CC}">
              <c16:uniqueId val="{00000000-9665-4F4E-92A5-8539F1653A41}"/>
            </c:ext>
          </c:extLst>
        </c:ser>
        <c:dLbls>
          <c:showLegendKey val="0"/>
          <c:showVal val="0"/>
          <c:showCatName val="0"/>
          <c:showSerName val="0"/>
          <c:showPercent val="0"/>
          <c:showBubbleSize val="0"/>
        </c:dLbls>
        <c:gapWidth val="100"/>
        <c:overlap val="-24"/>
        <c:axId val="872706480"/>
        <c:axId val="721890896"/>
      </c:barChart>
      <c:catAx>
        <c:axId val="8727064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890896"/>
        <c:crosses val="autoZero"/>
        <c:auto val="1"/>
        <c:lblAlgn val="ctr"/>
        <c:lblOffset val="100"/>
        <c:noMultiLvlLbl val="0"/>
      </c:catAx>
      <c:valAx>
        <c:axId val="721890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70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[last version1.xlsx]Phase  Piovt 4!PivotTable3</c:name>
    <c:fmtId val="6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3">
                <a:satMod val="175000"/>
                <a:alpha val="40000"/>
              </a:schemeClr>
            </a:glow>
          </a:effectLst>
        </c:spPr>
        <c:marker>
          <c:symbol val="none"/>
        </c:marker>
        <c:dLbl>
          <c:idx val="0"/>
          <c:spPr>
            <a:noFill/>
            <a:ln>
              <a:noFill/>
            </a:ln>
            <a:effectLst>
              <a:glow rad="101600">
                <a:srgbClr val="2A322A">
                  <a:alpha val="40000"/>
                </a:srgbClr>
              </a:glow>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3">
                <a:satMod val="175000"/>
                <a:alpha val="40000"/>
              </a:schemeClr>
            </a:glow>
          </a:effectLst>
        </c:spPr>
      </c:pivotFmt>
    </c:pivotFmts>
    <c:plotArea>
      <c:layout>
        <c:manualLayout>
          <c:layoutTarget val="inner"/>
          <c:xMode val="edge"/>
          <c:yMode val="edge"/>
          <c:x val="5.0155211369732285E-2"/>
          <c:y val="3.0269710942852371E-2"/>
          <c:w val="0.90235079076873959"/>
          <c:h val="0.73322027340269569"/>
        </c:manualLayout>
      </c:layout>
      <c:barChart>
        <c:barDir val="col"/>
        <c:grouping val="stacked"/>
        <c:varyColors val="0"/>
        <c:ser>
          <c:idx val="0"/>
          <c:order val="0"/>
          <c:tx>
            <c:strRef>
              <c:f>'Phase  Piovt 4'!$J$3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3">
                  <a:satMod val="175000"/>
                  <a:alpha val="40000"/>
                </a:schemeClr>
              </a:glow>
            </a:effectLst>
          </c:spPr>
          <c:invertIfNegative val="0"/>
          <c:dPt>
            <c:idx val="11"/>
            <c:invertIfNegative val="0"/>
            <c:bubble3D val="0"/>
            <c:extLst>
              <c:ext xmlns:c16="http://schemas.microsoft.com/office/drawing/2014/chart" uri="{C3380CC4-5D6E-409C-BE32-E72D297353CC}">
                <c16:uniqueId val="{00000001-38D8-444A-9AF7-9CF9761036B0}"/>
              </c:ext>
            </c:extLst>
          </c:dPt>
          <c:dLbls>
            <c:spPr>
              <a:noFill/>
              <a:ln>
                <a:noFill/>
              </a:ln>
              <a:effectLst>
                <a:glow rad="101600">
                  <a:srgbClr val="2A322A">
                    <a:alpha val="40000"/>
                  </a:srgbClr>
                </a:glow>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  Piovt 4'!$I$4:$I$16</c:f>
              <c:strCache>
                <c:ptCount val="12"/>
                <c:pt idx="0">
                  <c:v>Netherlands</c:v>
                </c:pt>
                <c:pt idx="1">
                  <c:v>Germany</c:v>
                </c:pt>
                <c:pt idx="2">
                  <c:v>Italy</c:v>
                </c:pt>
                <c:pt idx="3">
                  <c:v>Belgium</c:v>
                </c:pt>
                <c:pt idx="4">
                  <c:v>Spain</c:v>
                </c:pt>
                <c:pt idx="5">
                  <c:v>India</c:v>
                </c:pt>
                <c:pt idx="6">
                  <c:v>China</c:v>
                </c:pt>
                <c:pt idx="7">
                  <c:v>Türkiye</c:v>
                </c:pt>
                <c:pt idx="8">
                  <c:v>Egypt</c:v>
                </c:pt>
                <c:pt idx="9">
                  <c:v>Israel</c:v>
                </c:pt>
                <c:pt idx="10">
                  <c:v>Korea, Republic of</c:v>
                </c:pt>
                <c:pt idx="11">
                  <c:v>South Africa</c:v>
                </c:pt>
              </c:strCache>
            </c:strRef>
          </c:cat>
          <c:val>
            <c:numRef>
              <c:f>'Phase  Piovt 4'!$J$4:$J$16</c:f>
              <c:numCache>
                <c:formatCode>General</c:formatCode>
                <c:ptCount val="12"/>
                <c:pt idx="0">
                  <c:v>585</c:v>
                </c:pt>
                <c:pt idx="1">
                  <c:v>660</c:v>
                </c:pt>
                <c:pt idx="2">
                  <c:v>825</c:v>
                </c:pt>
                <c:pt idx="3">
                  <c:v>863</c:v>
                </c:pt>
                <c:pt idx="4">
                  <c:v>1241</c:v>
                </c:pt>
                <c:pt idx="5">
                  <c:v>1616</c:v>
                </c:pt>
                <c:pt idx="6">
                  <c:v>2454</c:v>
                </c:pt>
                <c:pt idx="7">
                  <c:v>2489</c:v>
                </c:pt>
                <c:pt idx="8">
                  <c:v>2776</c:v>
                </c:pt>
                <c:pt idx="9">
                  <c:v>3515</c:v>
                </c:pt>
                <c:pt idx="10">
                  <c:v>6019</c:v>
                </c:pt>
                <c:pt idx="11">
                  <c:v>9298</c:v>
                </c:pt>
              </c:numCache>
            </c:numRef>
          </c:val>
          <c:extLst>
            <c:ext xmlns:c16="http://schemas.microsoft.com/office/drawing/2014/chart" uri="{C3380CC4-5D6E-409C-BE32-E72D297353CC}">
              <c16:uniqueId val="{00000000-38D8-444A-9AF7-9CF9761036B0}"/>
            </c:ext>
          </c:extLst>
        </c:ser>
        <c:dLbls>
          <c:dLblPos val="inEnd"/>
          <c:showLegendKey val="0"/>
          <c:showVal val="1"/>
          <c:showCatName val="0"/>
          <c:showSerName val="0"/>
          <c:showPercent val="0"/>
          <c:showBubbleSize val="0"/>
        </c:dLbls>
        <c:gapWidth val="150"/>
        <c:overlap val="100"/>
        <c:axId val="247725344"/>
        <c:axId val="1458951183"/>
      </c:barChart>
      <c:catAx>
        <c:axId val="24772534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458951183"/>
        <c:crosses val="autoZero"/>
        <c:auto val="1"/>
        <c:lblAlgn val="ctr"/>
        <c:lblOffset val="100"/>
        <c:noMultiLvlLbl val="0"/>
      </c:catAx>
      <c:valAx>
        <c:axId val="1458951183"/>
        <c:scaling>
          <c:orientation val="minMax"/>
        </c:scaling>
        <c:delete val="1"/>
        <c:axPos val="l"/>
        <c:numFmt formatCode="General" sourceLinked="1"/>
        <c:majorTickMark val="out"/>
        <c:minorTickMark val="none"/>
        <c:tickLblPos val="nextTo"/>
        <c:crossAx val="247725344"/>
        <c:crosses val="autoZero"/>
        <c:crossBetween val="between"/>
      </c:valAx>
      <c:spPr>
        <a:noFill/>
        <a:ln>
          <a:noFill/>
        </a:ln>
        <a:effectLst>
          <a:glow rad="63500">
            <a:srgbClr val="2A322A">
              <a:alpha val="40000"/>
            </a:srgb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[last version1.xlsx]Phase  Piovt 4!PivotTable1</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B2A4A"/>
            </a:solidFill>
            <a:prstDash val="sysDot"/>
            <a:round/>
          </a:ln>
          <a:effectLst>
            <a:glow rad="63500">
              <a:schemeClr val="accent3">
                <a:satMod val="175000"/>
                <a:alpha val="40000"/>
              </a:schemeClr>
            </a:glow>
          </a:effectLst>
        </c:spPr>
        <c:marker>
          <c:symbol val="circle"/>
          <c:size val="5"/>
          <c:spPr>
            <a:solidFill>
              <a:srgbClr val="1B2A4A"/>
            </a:solidFill>
            <a:ln w="9525">
              <a:solidFill>
                <a:schemeClr val="accent1"/>
              </a:solidFill>
            </a:ln>
            <a:effectLst>
              <a:glow rad="63500">
                <a:schemeClr val="accent3">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195860885021021E-2"/>
          <c:y val="9.5162234131679416E-2"/>
          <c:w val="0.89974214188383117"/>
          <c:h val="0.67966911300321964"/>
        </c:manualLayout>
      </c:layout>
      <c:lineChart>
        <c:grouping val="standard"/>
        <c:varyColors val="0"/>
        <c:ser>
          <c:idx val="0"/>
          <c:order val="0"/>
          <c:tx>
            <c:strRef>
              <c:f>'Phase  Piovt 4'!$B$3</c:f>
              <c:strCache>
                <c:ptCount val="1"/>
                <c:pt idx="0">
                  <c:v>Total</c:v>
                </c:pt>
              </c:strCache>
            </c:strRef>
          </c:tx>
          <c:spPr>
            <a:ln w="28575" cap="rnd">
              <a:solidFill>
                <a:srgbClr val="1B2A4A"/>
              </a:solidFill>
              <a:prstDash val="sysDot"/>
              <a:round/>
            </a:ln>
            <a:effectLst>
              <a:glow rad="63500">
                <a:schemeClr val="accent3">
                  <a:satMod val="175000"/>
                  <a:alpha val="40000"/>
                </a:schemeClr>
              </a:glow>
            </a:effectLst>
          </c:spPr>
          <c:marker>
            <c:symbol val="circle"/>
            <c:size val="5"/>
            <c:spPr>
              <a:solidFill>
                <a:srgbClr val="1B2A4A"/>
              </a:solidFill>
              <a:ln w="9525">
                <a:solidFill>
                  <a:schemeClr val="accent1"/>
                </a:solidFill>
              </a:ln>
              <a:effectLst>
                <a:glow rad="63500">
                  <a:schemeClr val="accent3">
                    <a:satMod val="175000"/>
                    <a:alpha val="40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  Piovt 4'!$A$4:$A$15</c:f>
              <c:strCache>
                <c:ptCount val="11"/>
                <c:pt idx="0">
                  <c:v>Korea, Republic of</c:v>
                </c:pt>
                <c:pt idx="1">
                  <c:v>China</c:v>
                </c:pt>
                <c:pt idx="2">
                  <c:v>Israel</c:v>
                </c:pt>
                <c:pt idx="3">
                  <c:v>Belgium</c:v>
                </c:pt>
                <c:pt idx="4">
                  <c:v>Netherlands</c:v>
                </c:pt>
                <c:pt idx="5">
                  <c:v>South Africa</c:v>
                </c:pt>
                <c:pt idx="6">
                  <c:v>Türkiye</c:v>
                </c:pt>
                <c:pt idx="7">
                  <c:v>Italy</c:v>
                </c:pt>
                <c:pt idx="8">
                  <c:v>Spain</c:v>
                </c:pt>
                <c:pt idx="9">
                  <c:v>India</c:v>
                </c:pt>
                <c:pt idx="10">
                  <c:v>Germany</c:v>
                </c:pt>
              </c:strCache>
            </c:strRef>
          </c:cat>
          <c:val>
            <c:numRef>
              <c:f>'Phase  Piovt 4'!$B$4:$B$15</c:f>
              <c:numCache>
                <c:formatCode>General</c:formatCode>
                <c:ptCount val="11"/>
                <c:pt idx="0">
                  <c:v>1686</c:v>
                </c:pt>
                <c:pt idx="1">
                  <c:v>897</c:v>
                </c:pt>
                <c:pt idx="2">
                  <c:v>618</c:v>
                </c:pt>
                <c:pt idx="3">
                  <c:v>587</c:v>
                </c:pt>
                <c:pt idx="4">
                  <c:v>572</c:v>
                </c:pt>
                <c:pt idx="5">
                  <c:v>544</c:v>
                </c:pt>
                <c:pt idx="6">
                  <c:v>537</c:v>
                </c:pt>
                <c:pt idx="7">
                  <c:v>520</c:v>
                </c:pt>
                <c:pt idx="8">
                  <c:v>510</c:v>
                </c:pt>
                <c:pt idx="9">
                  <c:v>347</c:v>
                </c:pt>
                <c:pt idx="10">
                  <c:v>268</c:v>
                </c:pt>
              </c:numCache>
            </c:numRef>
          </c:val>
          <c:smooth val="0"/>
          <c:extLst>
            <c:ext xmlns:c16="http://schemas.microsoft.com/office/drawing/2014/chart" uri="{C3380CC4-5D6E-409C-BE32-E72D297353CC}">
              <c16:uniqueId val="{00000000-FC12-4C42-808F-B00E2DBD5A48}"/>
            </c:ext>
          </c:extLst>
        </c:ser>
        <c:dLbls>
          <c:dLblPos val="t"/>
          <c:showLegendKey val="0"/>
          <c:showVal val="1"/>
          <c:showCatName val="0"/>
          <c:showSerName val="0"/>
          <c:showPercent val="0"/>
          <c:showBubbleSize val="0"/>
        </c:dLbls>
        <c:marker val="1"/>
        <c:smooth val="0"/>
        <c:axId val="247629296"/>
        <c:axId val="1459033743"/>
      </c:lineChart>
      <c:catAx>
        <c:axId val="24762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459033743"/>
        <c:crosses val="autoZero"/>
        <c:auto val="1"/>
        <c:lblAlgn val="ctr"/>
        <c:lblOffset val="100"/>
        <c:noMultiLvlLbl val="0"/>
      </c:catAx>
      <c:valAx>
        <c:axId val="1459033743"/>
        <c:scaling>
          <c:orientation val="minMax"/>
        </c:scaling>
        <c:delete val="1"/>
        <c:axPos val="l"/>
        <c:numFmt formatCode="General" sourceLinked="1"/>
        <c:majorTickMark val="none"/>
        <c:minorTickMark val="none"/>
        <c:tickLblPos val="nextTo"/>
        <c:crossAx val="24762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85F7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0282446596871"/>
          <c:y val="5.0925925925925923E-2"/>
          <c:w val="0.80997175534031296"/>
          <c:h val="0.89814814814814814"/>
        </c:manualLayout>
      </c:layout>
      <c:barChart>
        <c:barDir val="bar"/>
        <c:grouping val="clustered"/>
        <c:varyColors val="0"/>
        <c:dLbls>
          <c:dLblPos val="outEnd"/>
          <c:showLegendKey val="0"/>
          <c:showVal val="1"/>
          <c:showCatName val="0"/>
          <c:showSerName val="0"/>
          <c:showPercent val="0"/>
          <c:showBubbleSize val="0"/>
        </c:dLbls>
        <c:gapWidth val="115"/>
        <c:overlap val="-20"/>
        <c:axId val="247642288"/>
        <c:axId val="1458962703"/>
      </c:barChart>
      <c:catAx>
        <c:axId val="2476422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458962703"/>
        <c:crosses val="autoZero"/>
        <c:auto val="1"/>
        <c:lblAlgn val="ctr"/>
        <c:lblOffset val="100"/>
        <c:noMultiLvlLbl val="0"/>
      </c:catAx>
      <c:valAx>
        <c:axId val="1458962703"/>
        <c:scaling>
          <c:orientation val="minMax"/>
        </c:scaling>
        <c:delete val="1"/>
        <c:axPos val="b"/>
        <c:numFmt formatCode="General" sourceLinked="1"/>
        <c:majorTickMark val="none"/>
        <c:minorTickMark val="none"/>
        <c:tickLblPos val="nextTo"/>
        <c:crossAx val="247642288"/>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[last version1.xlsx]pivot phase 2 !PivotTable9</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85F7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90507436570429E-2"/>
          <c:y val="5.5281631689927328E-2"/>
          <c:w val="0.9475780839895015"/>
          <c:h val="0.65802639253426654"/>
        </c:manualLayout>
      </c:layout>
      <c:barChart>
        <c:barDir val="col"/>
        <c:grouping val="clustered"/>
        <c:varyColors val="0"/>
        <c:ser>
          <c:idx val="0"/>
          <c:order val="0"/>
          <c:tx>
            <c:strRef>
              <c:f>'pivot phase 2 '!$B$57</c:f>
              <c:strCache>
                <c:ptCount val="1"/>
                <c:pt idx="0">
                  <c:v>Total</c:v>
                </c:pt>
              </c:strCache>
            </c:strRef>
          </c:tx>
          <c:spPr>
            <a:solidFill>
              <a:srgbClr val="385F7C"/>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phase 2 '!$A$58:$A$78</c:f>
              <c:strCache>
                <c:ptCount val="20"/>
                <c:pt idx="0">
                  <c:v>Benin</c:v>
                </c:pt>
                <c:pt idx="1">
                  <c:v>Mauritania</c:v>
                </c:pt>
                <c:pt idx="2">
                  <c:v>Panama</c:v>
                </c:pt>
                <c:pt idx="3">
                  <c:v>Senegal</c:v>
                </c:pt>
                <c:pt idx="4">
                  <c:v>Namibia</c:v>
                </c:pt>
                <c:pt idx="5">
                  <c:v>Venezuela, Bolivarian Republic of</c:v>
                </c:pt>
                <c:pt idx="6">
                  <c:v>Cambodia</c:v>
                </c:pt>
                <c:pt idx="7">
                  <c:v>Guyana</c:v>
                </c:pt>
                <c:pt idx="8">
                  <c:v>New Caledonia</c:v>
                </c:pt>
                <c:pt idx="9">
                  <c:v>Korea, Democratic People's Republic of</c:v>
                </c:pt>
                <c:pt idx="10">
                  <c:v>United Kingdom</c:v>
                </c:pt>
                <c:pt idx="11">
                  <c:v>Fiji</c:v>
                </c:pt>
                <c:pt idx="12">
                  <c:v>Jamaica</c:v>
                </c:pt>
                <c:pt idx="13">
                  <c:v>Aruba</c:v>
                </c:pt>
                <c:pt idx="14">
                  <c:v>Turkmenistan</c:v>
                </c:pt>
                <c:pt idx="15">
                  <c:v>Suriname</c:v>
                </c:pt>
                <c:pt idx="16">
                  <c:v>Nigeria</c:v>
                </c:pt>
                <c:pt idx="17">
                  <c:v>Gabon</c:v>
                </c:pt>
                <c:pt idx="18">
                  <c:v>Afghanistan</c:v>
                </c:pt>
                <c:pt idx="19">
                  <c:v>Nepal</c:v>
                </c:pt>
              </c:strCache>
            </c:strRef>
          </c:cat>
          <c:val>
            <c:numRef>
              <c:f>'pivot phase 2 '!$B$58:$B$78</c:f>
              <c:numCache>
                <c:formatCode>General</c:formatCode>
                <c:ptCount val="20"/>
                <c:pt idx="0">
                  <c:v>156</c:v>
                </c:pt>
                <c:pt idx="1">
                  <c:v>116</c:v>
                </c:pt>
                <c:pt idx="2">
                  <c:v>56</c:v>
                </c:pt>
                <c:pt idx="3">
                  <c:v>55</c:v>
                </c:pt>
                <c:pt idx="4">
                  <c:v>55</c:v>
                </c:pt>
                <c:pt idx="5">
                  <c:v>46</c:v>
                </c:pt>
                <c:pt idx="6">
                  <c:v>45</c:v>
                </c:pt>
                <c:pt idx="7">
                  <c:v>45</c:v>
                </c:pt>
                <c:pt idx="8">
                  <c:v>45</c:v>
                </c:pt>
                <c:pt idx="9">
                  <c:v>43</c:v>
                </c:pt>
                <c:pt idx="10">
                  <c:v>43</c:v>
                </c:pt>
                <c:pt idx="11">
                  <c:v>42</c:v>
                </c:pt>
                <c:pt idx="12">
                  <c:v>42</c:v>
                </c:pt>
                <c:pt idx="13">
                  <c:v>39</c:v>
                </c:pt>
                <c:pt idx="14">
                  <c:v>39</c:v>
                </c:pt>
                <c:pt idx="15">
                  <c:v>38</c:v>
                </c:pt>
                <c:pt idx="16">
                  <c:v>34</c:v>
                </c:pt>
                <c:pt idx="17">
                  <c:v>33</c:v>
                </c:pt>
                <c:pt idx="18">
                  <c:v>33</c:v>
                </c:pt>
                <c:pt idx="19">
                  <c:v>32</c:v>
                </c:pt>
              </c:numCache>
            </c:numRef>
          </c:val>
          <c:extLst>
            <c:ext xmlns:c16="http://schemas.microsoft.com/office/drawing/2014/chart" uri="{C3380CC4-5D6E-409C-BE32-E72D297353CC}">
              <c16:uniqueId val="{00000000-EF36-45A9-9F35-5957A5CF4653}"/>
            </c:ext>
          </c:extLst>
        </c:ser>
        <c:dLbls>
          <c:dLblPos val="outEnd"/>
          <c:showLegendKey val="0"/>
          <c:showVal val="1"/>
          <c:showCatName val="0"/>
          <c:showSerName val="0"/>
          <c:showPercent val="0"/>
          <c:showBubbleSize val="0"/>
        </c:dLbls>
        <c:gapWidth val="100"/>
        <c:overlap val="-24"/>
        <c:axId val="512501760"/>
        <c:axId val="536362448"/>
      </c:barChart>
      <c:catAx>
        <c:axId val="5125017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362448"/>
        <c:crosses val="autoZero"/>
        <c:auto val="1"/>
        <c:lblAlgn val="ctr"/>
        <c:lblOffset val="100"/>
        <c:noMultiLvlLbl val="0"/>
      </c:catAx>
      <c:valAx>
        <c:axId val="536362448"/>
        <c:scaling>
          <c:orientation val="minMax"/>
        </c:scaling>
        <c:delete val="1"/>
        <c:axPos val="l"/>
        <c:numFmt formatCode="General" sourceLinked="1"/>
        <c:majorTickMark val="none"/>
        <c:minorTickMark val="none"/>
        <c:tickLblPos val="nextTo"/>
        <c:crossAx val="51250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[last version1.xlsx]Phase  Piovt 4!PivotTable2</c:name>
    <c:fmtId val="27"/>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4307274743514"/>
          <c:y val="0.10895279165117837"/>
          <c:w val="0.87724984697508201"/>
          <c:h val="0.82664935261828287"/>
        </c:manualLayout>
      </c:layout>
      <c:barChart>
        <c:barDir val="bar"/>
        <c:grouping val="stacked"/>
        <c:varyColors val="0"/>
        <c:ser>
          <c:idx val="0"/>
          <c:order val="0"/>
          <c:tx>
            <c:strRef>
              <c:f>'Phase  Piovt 4'!$B$24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1"/>
            <c:invertIfNegative val="0"/>
            <c:bubble3D val="0"/>
            <c:extLst>
              <c:ext xmlns:c16="http://schemas.microsoft.com/office/drawing/2014/chart" uri="{C3380CC4-5D6E-409C-BE32-E72D297353CC}">
                <c16:uniqueId val="{00000000-6208-47ED-855C-962F54720E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  Piovt 4'!$A$25:$A$37</c:f>
              <c:strCache>
                <c:ptCount val="12"/>
                <c:pt idx="0">
                  <c:v>Germany</c:v>
                </c:pt>
                <c:pt idx="1">
                  <c:v>India</c:v>
                </c:pt>
                <c:pt idx="2">
                  <c:v>Spain</c:v>
                </c:pt>
                <c:pt idx="3">
                  <c:v>Italy</c:v>
                </c:pt>
                <c:pt idx="4">
                  <c:v>Türkiye</c:v>
                </c:pt>
                <c:pt idx="5">
                  <c:v>South Africa</c:v>
                </c:pt>
                <c:pt idx="6">
                  <c:v>Netherlands</c:v>
                </c:pt>
                <c:pt idx="7">
                  <c:v>Belgium</c:v>
                </c:pt>
                <c:pt idx="8">
                  <c:v>Egypt</c:v>
                </c:pt>
                <c:pt idx="9">
                  <c:v>Israel</c:v>
                </c:pt>
                <c:pt idx="10">
                  <c:v>China</c:v>
                </c:pt>
                <c:pt idx="11">
                  <c:v>Korea, Republic of</c:v>
                </c:pt>
              </c:strCache>
            </c:strRef>
          </c:cat>
          <c:val>
            <c:numRef>
              <c:f>'Phase  Piovt 4'!$B$25:$B$37</c:f>
              <c:numCache>
                <c:formatCode>General</c:formatCode>
                <c:ptCount val="12"/>
                <c:pt idx="0">
                  <c:v>272.82400000000001</c:v>
                </c:pt>
                <c:pt idx="1">
                  <c:v>367.47299999999996</c:v>
                </c:pt>
                <c:pt idx="2">
                  <c:v>519.18000000000006</c:v>
                </c:pt>
                <c:pt idx="3">
                  <c:v>529.36</c:v>
                </c:pt>
                <c:pt idx="4">
                  <c:v>551.49899999999991</c:v>
                </c:pt>
                <c:pt idx="5">
                  <c:v>566.30399999999997</c:v>
                </c:pt>
                <c:pt idx="6">
                  <c:v>582.29600000000005</c:v>
                </c:pt>
                <c:pt idx="7">
                  <c:v>597.56600000000003</c:v>
                </c:pt>
                <c:pt idx="8">
                  <c:v>610</c:v>
                </c:pt>
                <c:pt idx="9">
                  <c:v>629.12400000000002</c:v>
                </c:pt>
                <c:pt idx="10">
                  <c:v>949.923</c:v>
                </c:pt>
                <c:pt idx="11">
                  <c:v>1738.2659999999998</c:v>
                </c:pt>
              </c:numCache>
            </c:numRef>
          </c:val>
          <c:extLst>
            <c:ext xmlns:c16="http://schemas.microsoft.com/office/drawing/2014/chart" uri="{C3380CC4-5D6E-409C-BE32-E72D297353CC}">
              <c16:uniqueId val="{00000001-6208-47ED-855C-962F54720EF0}"/>
            </c:ext>
          </c:extLst>
        </c:ser>
        <c:dLbls>
          <c:dLblPos val="inEnd"/>
          <c:showLegendKey val="0"/>
          <c:showVal val="1"/>
          <c:showCatName val="0"/>
          <c:showSerName val="0"/>
          <c:showPercent val="0"/>
          <c:showBubbleSize val="0"/>
        </c:dLbls>
        <c:gapWidth val="150"/>
        <c:overlap val="100"/>
        <c:axId val="247491952"/>
        <c:axId val="1458982383"/>
      </c:barChart>
      <c:valAx>
        <c:axId val="1458982383"/>
        <c:scaling>
          <c:orientation val="minMax"/>
        </c:scaling>
        <c:delete val="1"/>
        <c:axPos val="b"/>
        <c:numFmt formatCode="General" sourceLinked="1"/>
        <c:majorTickMark val="none"/>
        <c:minorTickMark val="none"/>
        <c:tickLblPos val="nextTo"/>
        <c:crossAx val="247491952"/>
        <c:crosses val="autoZero"/>
        <c:crossBetween val="between"/>
      </c:valAx>
      <c:catAx>
        <c:axId val="2474919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14589823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[last version1.xlsx]Piovt phase 5!PivotTable1</c:name>
    <c:fmtId val="4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385F7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27405392959157E-2"/>
          <c:y val="3.5304636364579353E-2"/>
          <c:w val="0.91306005521985256"/>
          <c:h val="0.76470841564680647"/>
        </c:manualLayout>
      </c:layout>
      <c:barChart>
        <c:barDir val="col"/>
        <c:grouping val="clustered"/>
        <c:varyColors val="0"/>
        <c:ser>
          <c:idx val="0"/>
          <c:order val="0"/>
          <c:tx>
            <c:strRef>
              <c:f>'Piovt phase 5'!$B$3</c:f>
              <c:strCache>
                <c:ptCount val="1"/>
                <c:pt idx="0">
                  <c:v>Total</c:v>
                </c:pt>
              </c:strCache>
            </c:strRef>
          </c:tx>
          <c:spPr>
            <a:solidFill>
              <a:srgbClr val="385F7C"/>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38A5-4168-BEF0-13BEE0E599F4}"/>
              </c:ext>
            </c:extLst>
          </c:dPt>
          <c:dPt>
            <c:idx val="1"/>
            <c:invertIfNegative val="0"/>
            <c:bubble3D val="0"/>
            <c:extLst>
              <c:ext xmlns:c16="http://schemas.microsoft.com/office/drawing/2014/chart" uri="{C3380CC4-5D6E-409C-BE32-E72D297353CC}">
                <c16:uniqueId val="{00000001-38A5-4168-BEF0-13BEE0E599F4}"/>
              </c:ext>
            </c:extLst>
          </c:dPt>
          <c:dPt>
            <c:idx val="2"/>
            <c:invertIfNegative val="0"/>
            <c:bubble3D val="0"/>
            <c:extLst>
              <c:ext xmlns:c16="http://schemas.microsoft.com/office/drawing/2014/chart" uri="{C3380CC4-5D6E-409C-BE32-E72D297353CC}">
                <c16:uniqueId val="{00000002-38A5-4168-BEF0-13BEE0E599F4}"/>
              </c:ext>
            </c:extLst>
          </c:dPt>
          <c:dPt>
            <c:idx val="3"/>
            <c:invertIfNegative val="0"/>
            <c:bubble3D val="0"/>
            <c:extLst>
              <c:ext xmlns:c16="http://schemas.microsoft.com/office/drawing/2014/chart" uri="{C3380CC4-5D6E-409C-BE32-E72D297353CC}">
                <c16:uniqueId val="{00000003-38A5-4168-BEF0-13BEE0E599F4}"/>
              </c:ext>
            </c:extLst>
          </c:dPt>
          <c:dPt>
            <c:idx val="4"/>
            <c:invertIfNegative val="0"/>
            <c:bubble3D val="0"/>
            <c:extLst>
              <c:ext xmlns:c16="http://schemas.microsoft.com/office/drawing/2014/chart" uri="{C3380CC4-5D6E-409C-BE32-E72D297353CC}">
                <c16:uniqueId val="{00000004-38A5-4168-BEF0-13BEE0E599F4}"/>
              </c:ext>
            </c:extLst>
          </c:dPt>
          <c:dPt>
            <c:idx val="5"/>
            <c:invertIfNegative val="0"/>
            <c:bubble3D val="0"/>
            <c:extLst>
              <c:ext xmlns:c16="http://schemas.microsoft.com/office/drawing/2014/chart" uri="{C3380CC4-5D6E-409C-BE32-E72D297353CC}">
                <c16:uniqueId val="{00000005-38A5-4168-BEF0-13BEE0E599F4}"/>
              </c:ext>
            </c:extLst>
          </c:dPt>
          <c:dPt>
            <c:idx val="6"/>
            <c:invertIfNegative val="0"/>
            <c:bubble3D val="0"/>
            <c:extLst>
              <c:ext xmlns:c16="http://schemas.microsoft.com/office/drawing/2014/chart" uri="{C3380CC4-5D6E-409C-BE32-E72D297353CC}">
                <c16:uniqueId val="{00000006-38A5-4168-BEF0-13BEE0E599F4}"/>
              </c:ext>
            </c:extLst>
          </c:dPt>
          <c:dPt>
            <c:idx val="7"/>
            <c:invertIfNegative val="0"/>
            <c:bubble3D val="0"/>
            <c:extLst>
              <c:ext xmlns:c16="http://schemas.microsoft.com/office/drawing/2014/chart" uri="{C3380CC4-5D6E-409C-BE32-E72D297353CC}">
                <c16:uniqueId val="{00000007-38A5-4168-BEF0-13BEE0E599F4}"/>
              </c:ext>
            </c:extLst>
          </c:dPt>
          <c:dPt>
            <c:idx val="8"/>
            <c:invertIfNegative val="0"/>
            <c:bubble3D val="0"/>
            <c:extLst>
              <c:ext xmlns:c16="http://schemas.microsoft.com/office/drawing/2014/chart" uri="{C3380CC4-5D6E-409C-BE32-E72D297353CC}">
                <c16:uniqueId val="{00000008-38A5-4168-BEF0-13BEE0E599F4}"/>
              </c:ext>
            </c:extLst>
          </c:dPt>
          <c:dPt>
            <c:idx val="9"/>
            <c:invertIfNegative val="0"/>
            <c:bubble3D val="0"/>
            <c:extLst>
              <c:ext xmlns:c16="http://schemas.microsoft.com/office/drawing/2014/chart" uri="{C3380CC4-5D6E-409C-BE32-E72D297353CC}">
                <c16:uniqueId val="{00000009-38A5-4168-BEF0-13BEE0E599F4}"/>
              </c:ext>
            </c:extLst>
          </c:dPt>
          <c:dPt>
            <c:idx val="10"/>
            <c:invertIfNegative val="0"/>
            <c:bubble3D val="0"/>
            <c:extLst>
              <c:ext xmlns:c16="http://schemas.microsoft.com/office/drawing/2014/chart" uri="{C3380CC4-5D6E-409C-BE32-E72D297353CC}">
                <c16:uniqueId val="{0000000A-38A5-4168-BEF0-13BEE0E599F4}"/>
              </c:ext>
            </c:extLst>
          </c:dPt>
          <c:dPt>
            <c:idx val="11"/>
            <c:invertIfNegative val="0"/>
            <c:bubble3D val="0"/>
            <c:extLst>
              <c:ext xmlns:c16="http://schemas.microsoft.com/office/drawing/2014/chart" uri="{C3380CC4-5D6E-409C-BE32-E72D297353CC}">
                <c16:uniqueId val="{0000000B-38A5-4168-BEF0-13BEE0E599F4}"/>
              </c:ext>
            </c:extLst>
          </c:dPt>
          <c:dPt>
            <c:idx val="12"/>
            <c:invertIfNegative val="0"/>
            <c:bubble3D val="0"/>
            <c:extLst>
              <c:ext xmlns:c16="http://schemas.microsoft.com/office/drawing/2014/chart" uri="{C3380CC4-5D6E-409C-BE32-E72D297353CC}">
                <c16:uniqueId val="{0000000C-38A5-4168-BEF0-13BEE0E599F4}"/>
              </c:ext>
            </c:extLst>
          </c:dPt>
          <c:dPt>
            <c:idx val="13"/>
            <c:invertIfNegative val="0"/>
            <c:bubble3D val="0"/>
            <c:extLst>
              <c:ext xmlns:c16="http://schemas.microsoft.com/office/drawing/2014/chart" uri="{C3380CC4-5D6E-409C-BE32-E72D297353CC}">
                <c16:uniqueId val="{0000000D-38A5-4168-BEF0-13BEE0E599F4}"/>
              </c:ext>
            </c:extLst>
          </c:dPt>
          <c:dPt>
            <c:idx val="14"/>
            <c:invertIfNegative val="0"/>
            <c:bubble3D val="0"/>
            <c:extLst>
              <c:ext xmlns:c16="http://schemas.microsoft.com/office/drawing/2014/chart" uri="{C3380CC4-5D6E-409C-BE32-E72D297353CC}">
                <c16:uniqueId val="{0000000E-38A5-4168-BEF0-13BEE0E599F4}"/>
              </c:ext>
            </c:extLst>
          </c:dPt>
          <c:dPt>
            <c:idx val="15"/>
            <c:invertIfNegative val="0"/>
            <c:bubble3D val="0"/>
            <c:extLst>
              <c:ext xmlns:c16="http://schemas.microsoft.com/office/drawing/2014/chart" uri="{C3380CC4-5D6E-409C-BE32-E72D297353CC}">
                <c16:uniqueId val="{0000000F-38A5-4168-BEF0-13BEE0E599F4}"/>
              </c:ext>
            </c:extLst>
          </c:dPt>
          <c:dLbls>
            <c:spPr>
              <a:noFill/>
              <a:ln>
                <a:noFill/>
              </a:ln>
              <a:effectLst/>
            </c:spPr>
            <c:txPr>
              <a:bodyPr rot="0" spcFirstLastPara="1" vertOverflow="ellipsis" vert="horz" wrap="square" lIns="38100" tIns="19050" rIns="38100" bIns="19050" anchor="ctr" anchorCtr="1">
                <a:spAutoFit/>
              </a:bodyPr>
              <a:lstStyle/>
              <a:p>
                <a:pPr>
                  <a:defRPr sz="16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phase 5'!$A$4:$A$14</c:f>
              <c:strCache>
                <c:ptCount val="10"/>
                <c:pt idx="0">
                  <c:v>Algeria</c:v>
                </c:pt>
                <c:pt idx="1">
                  <c:v>Azerbaijan</c:v>
                </c:pt>
                <c:pt idx="2">
                  <c:v>Congo, Democratic Republic of the</c:v>
                </c:pt>
                <c:pt idx="3">
                  <c:v>Israel</c:v>
                </c:pt>
                <c:pt idx="4">
                  <c:v>Jordan</c:v>
                </c:pt>
                <c:pt idx="5">
                  <c:v>Kenya</c:v>
                </c:pt>
                <c:pt idx="6">
                  <c:v>Türkiye</c:v>
                </c:pt>
                <c:pt idx="7">
                  <c:v>Uganda</c:v>
                </c:pt>
                <c:pt idx="8">
                  <c:v>United Arab Emirates</c:v>
                </c:pt>
                <c:pt idx="9">
                  <c:v>Zimbabwe</c:v>
                </c:pt>
              </c:strCache>
            </c:strRef>
          </c:cat>
          <c:val>
            <c:numRef>
              <c:f>'Piovt phase 5'!$B$4:$B$14</c:f>
              <c:numCache>
                <c:formatCode>0</c:formatCode>
                <c:ptCount val="10"/>
                <c:pt idx="0">
                  <c:v>7.3895768537213513</c:v>
                </c:pt>
                <c:pt idx="1">
                  <c:v>6.9404532982061333</c:v>
                </c:pt>
                <c:pt idx="2">
                  <c:v>6.9086918387115244</c:v>
                </c:pt>
                <c:pt idx="3">
                  <c:v>8.989203084832905</c:v>
                </c:pt>
                <c:pt idx="4">
                  <c:v>8.0699431899018528</c:v>
                </c:pt>
                <c:pt idx="5">
                  <c:v>6.4272800818826195</c:v>
                </c:pt>
                <c:pt idx="6">
                  <c:v>7.4820772559956481</c:v>
                </c:pt>
                <c:pt idx="7">
                  <c:v>6.6025296320615325</c:v>
                </c:pt>
                <c:pt idx="8">
                  <c:v>6.8815677149854357</c:v>
                </c:pt>
                <c:pt idx="9">
                  <c:v>6.583322610725145</c:v>
                </c:pt>
              </c:numCache>
            </c:numRef>
          </c:val>
          <c:extLst>
            <c:ext xmlns:c16="http://schemas.microsoft.com/office/drawing/2014/chart" uri="{C3380CC4-5D6E-409C-BE32-E72D297353CC}">
              <c16:uniqueId val="{00000010-38A5-4168-BEF0-13BEE0E599F4}"/>
            </c:ext>
          </c:extLst>
        </c:ser>
        <c:dLbls>
          <c:showLegendKey val="0"/>
          <c:showVal val="0"/>
          <c:showCatName val="0"/>
          <c:showSerName val="0"/>
          <c:showPercent val="0"/>
          <c:showBubbleSize val="0"/>
        </c:dLbls>
        <c:gapWidth val="100"/>
        <c:overlap val="-24"/>
        <c:axId val="872706480"/>
        <c:axId val="721890896"/>
      </c:barChart>
      <c:catAx>
        <c:axId val="87270648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1" u="none" strike="noStrike" kern="1200" baseline="0">
                <a:solidFill>
                  <a:schemeClr val="tx1">
                    <a:lumMod val="65000"/>
                    <a:lumOff val="35000"/>
                  </a:schemeClr>
                </a:solidFill>
                <a:latin typeface="+mn-lt"/>
                <a:ea typeface="+mn-ea"/>
                <a:cs typeface="+mn-cs"/>
              </a:defRPr>
            </a:pPr>
            <a:endParaRPr lang="en-US"/>
          </a:p>
        </c:txPr>
        <c:crossAx val="721890896"/>
        <c:crosses val="autoZero"/>
        <c:auto val="1"/>
        <c:lblAlgn val="ctr"/>
        <c:lblOffset val="100"/>
        <c:noMultiLvlLbl val="0"/>
      </c:catAx>
      <c:valAx>
        <c:axId val="721890896"/>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2000" b="1" i="1"/>
                  <a:t>Target</a:t>
                </a:r>
                <a:r>
                  <a:rPr lang="en-US" sz="2000" b="1" i="1" baseline="0"/>
                  <a:t> Score</a:t>
                </a:r>
                <a:endParaRPr lang="en-GB" sz="2000" b="1" i="1"/>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out"/>
        <c:minorTickMark val="none"/>
        <c:tickLblPos val="nextTo"/>
        <c:crossAx val="87270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5">
  <a:schemeClr val="accent5"/>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1">
  <a:schemeClr val="accent1"/>
</cs:colorStyle>
</file>

<file path=xl/charts/colors21.xml><?xml version="1.0" encoding="utf-8"?>
<cs:colorStyle xmlns:cs="http://schemas.microsoft.com/office/drawing/2012/chartStyle" xmlns:a="http://schemas.openxmlformats.org/drawingml/2006/main" meth="withinLinearReversed" id="21">
  <a:schemeClr val="accent1"/>
</cs:colorStyle>
</file>

<file path=xl/charts/colors22.xml><?xml version="1.0" encoding="utf-8"?>
<cs:colorStyle xmlns:cs="http://schemas.microsoft.com/office/drawing/2012/chartStyle" xmlns:a="http://schemas.openxmlformats.org/drawingml/2006/main" meth="withinLinearReversed" id="21">
  <a:schemeClr val="accent1"/>
</cs:colorStyle>
</file>

<file path=xl/charts/colors2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3</xdr:col>
      <xdr:colOff>7158</xdr:colOff>
      <xdr:row>8</xdr:row>
      <xdr:rowOff>127462</xdr:rowOff>
    </xdr:from>
    <xdr:to>
      <xdr:col>6</xdr:col>
      <xdr:colOff>231</xdr:colOff>
      <xdr:row>22</xdr:row>
      <xdr:rowOff>8255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AC5284B-7850-CD14-39AF-D668712BD4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91613" y="160528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259772</xdr:colOff>
      <xdr:row>0</xdr:row>
      <xdr:rowOff>0</xdr:rowOff>
    </xdr:from>
    <xdr:to>
      <xdr:col>15</xdr:col>
      <xdr:colOff>57727</xdr:colOff>
      <xdr:row>15</xdr:row>
      <xdr:rowOff>15009</xdr:rowOff>
    </xdr:to>
    <xdr:graphicFrame macro="">
      <xdr:nvGraphicFramePr>
        <xdr:cNvPr id="10" name="Chart 9">
          <a:extLst>
            <a:ext uri="{FF2B5EF4-FFF2-40B4-BE49-F238E27FC236}">
              <a16:creationId xmlns:a16="http://schemas.microsoft.com/office/drawing/2014/main" id="{F168176E-049C-0A41-74B5-F863B1A23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323272</xdr:colOff>
      <xdr:row>32</xdr:row>
      <xdr:rowOff>23090</xdr:rowOff>
    </xdr:from>
    <xdr:to>
      <xdr:col>15</xdr:col>
      <xdr:colOff>115454</xdr:colOff>
      <xdr:row>46</xdr:row>
      <xdr:rowOff>99289</xdr:rowOff>
    </xdr:to>
    <xdr:graphicFrame macro="">
      <xdr:nvGraphicFramePr>
        <xdr:cNvPr id="13" name="Chart 12">
          <a:extLst>
            <a:ext uri="{FF2B5EF4-FFF2-40B4-BE49-F238E27FC236}">
              <a16:creationId xmlns:a16="http://schemas.microsoft.com/office/drawing/2014/main" id="{4859DFB8-14CC-578A-AEB0-60F624E6C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282863</xdr:colOff>
      <xdr:row>46</xdr:row>
      <xdr:rowOff>123536</xdr:rowOff>
    </xdr:from>
    <xdr:to>
      <xdr:col>13</xdr:col>
      <xdr:colOff>17318</xdr:colOff>
      <xdr:row>61</xdr:row>
      <xdr:rowOff>95827</xdr:rowOff>
    </xdr:to>
    <xdr:graphicFrame macro="">
      <xdr:nvGraphicFramePr>
        <xdr:cNvPr id="14" name="Chart 13">
          <a:extLst>
            <a:ext uri="{FF2B5EF4-FFF2-40B4-BE49-F238E27FC236}">
              <a16:creationId xmlns:a16="http://schemas.microsoft.com/office/drawing/2014/main" id="{F3BA5F2A-8769-9D1E-D597-B10E40D18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6927</xdr:colOff>
      <xdr:row>27</xdr:row>
      <xdr:rowOff>0</xdr:rowOff>
    </xdr:from>
    <xdr:to>
      <xdr:col>6</xdr:col>
      <xdr:colOff>0</xdr:colOff>
      <xdr:row>40</xdr:row>
      <xdr:rowOff>65520</xdr:rowOff>
    </xdr:to>
    <mc:AlternateContent xmlns:mc="http://schemas.openxmlformats.org/markup-compatibility/2006" xmlns:a14="http://schemas.microsoft.com/office/drawing/2010/main">
      <mc:Choice Requires="a14">
        <xdr:graphicFrame macro="">
          <xdr:nvGraphicFramePr>
            <xdr:cNvPr id="17" name="Concerterntion of supplier 3">
              <a:extLst>
                <a:ext uri="{FF2B5EF4-FFF2-40B4-BE49-F238E27FC236}">
                  <a16:creationId xmlns:a16="http://schemas.microsoft.com/office/drawing/2014/main" id="{4C0C7FA4-AEAB-FA78-2A3A-BA4D1B744CE3}"/>
                </a:ext>
              </a:extLst>
            </xdr:cNvPr>
            <xdr:cNvGraphicFramePr/>
          </xdr:nvGraphicFramePr>
          <xdr:xfrm>
            <a:off x="0" y="0"/>
            <a:ext cx="0" cy="0"/>
          </xdr:xfrm>
          <a:graphic>
            <a:graphicData uri="http://schemas.microsoft.com/office/drawing/2010/slicer">
              <sle:slicer xmlns:sle="http://schemas.microsoft.com/office/drawing/2010/slicer" name="Concerterntion of supplier 3"/>
            </a:graphicData>
          </a:graphic>
        </xdr:graphicFrame>
      </mc:Choice>
      <mc:Fallback xmlns="">
        <xdr:sp macro="" textlink="">
          <xdr:nvSpPr>
            <xdr:cNvPr id="0" name=""/>
            <xdr:cNvSpPr>
              <a:spLocks noTextEdit="1"/>
            </xdr:cNvSpPr>
          </xdr:nvSpPr>
          <xdr:spPr>
            <a:xfrm>
              <a:off x="6091382" y="4987636"/>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34637</xdr:colOff>
      <xdr:row>60</xdr:row>
      <xdr:rowOff>0</xdr:rowOff>
    </xdr:from>
    <xdr:to>
      <xdr:col>24</xdr:col>
      <xdr:colOff>288636</xdr:colOff>
      <xdr:row>77</xdr:row>
      <xdr:rowOff>69272</xdr:rowOff>
    </xdr:to>
    <xdr:graphicFrame macro="">
      <xdr:nvGraphicFramePr>
        <xdr:cNvPr id="4" name="Chart 3">
          <a:extLst>
            <a:ext uri="{FF2B5EF4-FFF2-40B4-BE49-F238E27FC236}">
              <a16:creationId xmlns:a16="http://schemas.microsoft.com/office/drawing/2014/main" id="{A7776438-0416-4AED-93A9-C878666E9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785090</xdr:colOff>
      <xdr:row>16</xdr:row>
      <xdr:rowOff>173181</xdr:rowOff>
    </xdr:from>
    <xdr:to>
      <xdr:col>19</xdr:col>
      <xdr:colOff>427181</xdr:colOff>
      <xdr:row>31</xdr:row>
      <xdr:rowOff>84281</xdr:rowOff>
    </xdr:to>
    <xdr:graphicFrame macro="">
      <xdr:nvGraphicFramePr>
        <xdr:cNvPr id="3" name="Chart 2">
          <a:extLst>
            <a:ext uri="{FF2B5EF4-FFF2-40B4-BE49-F238E27FC236}">
              <a16:creationId xmlns:a16="http://schemas.microsoft.com/office/drawing/2014/main" id="{41313F0D-F0A6-11EB-0B27-48D3097B5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141515</xdr:colOff>
      <xdr:row>0</xdr:row>
      <xdr:rowOff>108856</xdr:rowOff>
    </xdr:from>
    <xdr:to>
      <xdr:col>26</xdr:col>
      <xdr:colOff>511629</xdr:colOff>
      <xdr:row>38</xdr:row>
      <xdr:rowOff>27710</xdr:rowOff>
    </xdr:to>
    <xdr:sp macro="" textlink="">
      <xdr:nvSpPr>
        <xdr:cNvPr id="3" name="Rectangle: Rounded Corners 2">
          <a:extLst>
            <a:ext uri="{FF2B5EF4-FFF2-40B4-BE49-F238E27FC236}">
              <a16:creationId xmlns:a16="http://schemas.microsoft.com/office/drawing/2014/main" id="{652D4B59-7C08-74FC-22BA-DC40373B4379}"/>
            </a:ext>
          </a:extLst>
        </xdr:cNvPr>
        <xdr:cNvSpPr/>
      </xdr:nvSpPr>
      <xdr:spPr>
        <a:xfrm>
          <a:off x="141515" y="108856"/>
          <a:ext cx="16219714" cy="6951025"/>
        </a:xfrm>
        <a:prstGeom prst="roundRect">
          <a:avLst>
            <a:gd name="adj" fmla="val 4667"/>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544286</xdr:colOff>
      <xdr:row>2</xdr:row>
      <xdr:rowOff>0</xdr:rowOff>
    </xdr:from>
    <xdr:to>
      <xdr:col>26</xdr:col>
      <xdr:colOff>348343</xdr:colOff>
      <xdr:row>38</xdr:row>
      <xdr:rowOff>0</xdr:rowOff>
    </xdr:to>
    <xdr:sp macro="" textlink="">
      <xdr:nvSpPr>
        <xdr:cNvPr id="4" name="Rectangle: Rounded Corners 3">
          <a:extLst>
            <a:ext uri="{FF2B5EF4-FFF2-40B4-BE49-F238E27FC236}">
              <a16:creationId xmlns:a16="http://schemas.microsoft.com/office/drawing/2014/main" id="{4B44EEEF-FA9F-0898-48C0-91AC3791F857}"/>
            </a:ext>
          </a:extLst>
        </xdr:cNvPr>
        <xdr:cNvSpPr/>
      </xdr:nvSpPr>
      <xdr:spPr>
        <a:xfrm>
          <a:off x="544286" y="370114"/>
          <a:ext cx="15653657" cy="6662057"/>
        </a:xfrm>
        <a:prstGeom prst="roundRect">
          <a:avLst>
            <a:gd name="adj" fmla="val 4667"/>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122491</xdr:colOff>
      <xdr:row>5</xdr:row>
      <xdr:rowOff>8437</xdr:rowOff>
    </xdr:from>
    <xdr:to>
      <xdr:col>8</xdr:col>
      <xdr:colOff>241366</xdr:colOff>
      <xdr:row>13</xdr:row>
      <xdr:rowOff>6042</xdr:rowOff>
    </xdr:to>
    <xdr:sp macro="" textlink="">
      <xdr:nvSpPr>
        <xdr:cNvPr id="5" name="Rectangle: Rounded Corners 4">
          <a:extLst>
            <a:ext uri="{FF2B5EF4-FFF2-40B4-BE49-F238E27FC236}">
              <a16:creationId xmlns:a16="http://schemas.microsoft.com/office/drawing/2014/main" id="{1144DC4D-F179-EDF1-1574-3A128D67CBD1}"/>
            </a:ext>
          </a:extLst>
        </xdr:cNvPr>
        <xdr:cNvSpPr/>
      </xdr:nvSpPr>
      <xdr:spPr>
        <a:xfrm>
          <a:off x="732091" y="933723"/>
          <a:ext cx="4386075" cy="1478062"/>
        </a:xfrm>
        <a:prstGeom prst="roundRect">
          <a:avLst>
            <a:gd name="adj" fmla="val 8451"/>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157030</xdr:colOff>
      <xdr:row>13</xdr:row>
      <xdr:rowOff>97969</xdr:rowOff>
    </xdr:from>
    <xdr:to>
      <xdr:col>8</xdr:col>
      <xdr:colOff>274024</xdr:colOff>
      <xdr:row>37</xdr:row>
      <xdr:rowOff>65313</xdr:rowOff>
    </xdr:to>
    <xdr:sp macro="" textlink="">
      <xdr:nvSpPr>
        <xdr:cNvPr id="6" name="Rectangle: Rounded Corners 5">
          <a:extLst>
            <a:ext uri="{FF2B5EF4-FFF2-40B4-BE49-F238E27FC236}">
              <a16:creationId xmlns:a16="http://schemas.microsoft.com/office/drawing/2014/main" id="{9A7743B8-1898-54D2-985E-2C69BF9ED6D7}"/>
            </a:ext>
          </a:extLst>
        </xdr:cNvPr>
        <xdr:cNvSpPr/>
      </xdr:nvSpPr>
      <xdr:spPr>
        <a:xfrm>
          <a:off x="766630" y="2503712"/>
          <a:ext cx="4384194" cy="4408715"/>
        </a:xfrm>
        <a:prstGeom prst="roundRect">
          <a:avLst>
            <a:gd name="adj" fmla="val 374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368965</xdr:colOff>
      <xdr:row>5</xdr:row>
      <xdr:rowOff>54428</xdr:rowOff>
    </xdr:from>
    <xdr:to>
      <xdr:col>17</xdr:col>
      <xdr:colOff>305337</xdr:colOff>
      <xdr:row>20</xdr:row>
      <xdr:rowOff>54697</xdr:rowOff>
    </xdr:to>
    <xdr:sp macro="" textlink="">
      <xdr:nvSpPr>
        <xdr:cNvPr id="7" name="Rectangle: Rounded Corners 6">
          <a:extLst>
            <a:ext uri="{FF2B5EF4-FFF2-40B4-BE49-F238E27FC236}">
              <a16:creationId xmlns:a16="http://schemas.microsoft.com/office/drawing/2014/main" id="{4A73539C-10EC-3C70-95AA-5598C3B46206}"/>
            </a:ext>
          </a:extLst>
        </xdr:cNvPr>
        <xdr:cNvSpPr/>
      </xdr:nvSpPr>
      <xdr:spPr>
        <a:xfrm>
          <a:off x="5245765" y="979714"/>
          <a:ext cx="5422772" cy="2776126"/>
        </a:xfrm>
        <a:prstGeom prst="roundRect">
          <a:avLst>
            <a:gd name="adj" fmla="val 374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389661</xdr:colOff>
      <xdr:row>20</xdr:row>
      <xdr:rowOff>141514</xdr:rowOff>
    </xdr:from>
    <xdr:to>
      <xdr:col>17</xdr:col>
      <xdr:colOff>326033</xdr:colOff>
      <xdr:row>37</xdr:row>
      <xdr:rowOff>43543</xdr:rowOff>
    </xdr:to>
    <xdr:sp macro="" textlink="">
      <xdr:nvSpPr>
        <xdr:cNvPr id="8" name="Rectangle: Rounded Corners 7">
          <a:extLst>
            <a:ext uri="{FF2B5EF4-FFF2-40B4-BE49-F238E27FC236}">
              <a16:creationId xmlns:a16="http://schemas.microsoft.com/office/drawing/2014/main" id="{A153D6DC-1634-646C-8955-18C77D342F57}"/>
            </a:ext>
          </a:extLst>
        </xdr:cNvPr>
        <xdr:cNvSpPr/>
      </xdr:nvSpPr>
      <xdr:spPr>
        <a:xfrm>
          <a:off x="5266461" y="3842657"/>
          <a:ext cx="5422772" cy="3048000"/>
        </a:xfrm>
        <a:prstGeom prst="roundRect">
          <a:avLst>
            <a:gd name="adj" fmla="val 374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413657</xdr:colOff>
      <xdr:row>5</xdr:row>
      <xdr:rowOff>65314</xdr:rowOff>
    </xdr:from>
    <xdr:to>
      <xdr:col>26</xdr:col>
      <xdr:colOff>195943</xdr:colOff>
      <xdr:row>20</xdr:row>
      <xdr:rowOff>43543</xdr:rowOff>
    </xdr:to>
    <xdr:sp macro="" textlink="">
      <xdr:nvSpPr>
        <xdr:cNvPr id="9" name="Rectangle: Rounded Corners 8">
          <a:extLst>
            <a:ext uri="{FF2B5EF4-FFF2-40B4-BE49-F238E27FC236}">
              <a16:creationId xmlns:a16="http://schemas.microsoft.com/office/drawing/2014/main" id="{4E1A8E3B-9BA5-5C80-0962-8A3CDD6396DC}"/>
            </a:ext>
          </a:extLst>
        </xdr:cNvPr>
        <xdr:cNvSpPr/>
      </xdr:nvSpPr>
      <xdr:spPr>
        <a:xfrm>
          <a:off x="10776857" y="990600"/>
          <a:ext cx="5268686" cy="2754086"/>
        </a:xfrm>
        <a:prstGeom prst="roundRect">
          <a:avLst>
            <a:gd name="adj" fmla="val 374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239486</xdr:colOff>
      <xdr:row>5</xdr:row>
      <xdr:rowOff>152395</xdr:rowOff>
    </xdr:from>
    <xdr:to>
      <xdr:col>3</xdr:col>
      <xdr:colOff>315686</xdr:colOff>
      <xdr:row>12</xdr:row>
      <xdr:rowOff>133068</xdr:rowOff>
    </xdr:to>
    <xdr:sp macro="" textlink="">
      <xdr:nvSpPr>
        <xdr:cNvPr id="10" name="Rectangle: Rounded Corners 9">
          <a:extLst>
            <a:ext uri="{FF2B5EF4-FFF2-40B4-BE49-F238E27FC236}">
              <a16:creationId xmlns:a16="http://schemas.microsoft.com/office/drawing/2014/main" id="{46D274EE-2CE5-9E26-5F86-4308C98432D6}"/>
            </a:ext>
          </a:extLst>
        </xdr:cNvPr>
        <xdr:cNvSpPr/>
      </xdr:nvSpPr>
      <xdr:spPr>
        <a:xfrm>
          <a:off x="849086" y="1077681"/>
          <a:ext cx="1295400" cy="1276073"/>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i="1" u="sng">
              <a:solidFill>
                <a:srgbClr val="1B2A4A"/>
              </a:solidFill>
              <a:effectLst/>
              <a:latin typeface="+mn-lt"/>
              <a:ea typeface="+mn-ea"/>
              <a:cs typeface="+mn-cs"/>
            </a:rPr>
            <a:t>Import</a:t>
          </a:r>
          <a:r>
            <a:rPr lang="en-GB" sz="1400" b="1" i="1" u="sng" baseline="0">
              <a:solidFill>
                <a:srgbClr val="1B2A4A"/>
              </a:solidFill>
              <a:effectLst/>
              <a:latin typeface="+mn-lt"/>
              <a:ea typeface="+mn-ea"/>
              <a:cs typeface="+mn-cs"/>
            </a:rPr>
            <a:t> Value</a:t>
          </a:r>
          <a:endParaRPr lang="en-GB" sz="1400">
            <a:solidFill>
              <a:srgbClr val="1B2A4A"/>
            </a:solidFill>
            <a:effectLst/>
          </a:endParaRPr>
        </a:p>
      </xdr:txBody>
    </xdr:sp>
    <xdr:clientData/>
  </xdr:twoCellAnchor>
  <xdr:twoCellAnchor>
    <xdr:from>
      <xdr:col>3</xdr:col>
      <xdr:colOff>391886</xdr:colOff>
      <xdr:row>5</xdr:row>
      <xdr:rowOff>152395</xdr:rowOff>
    </xdr:from>
    <xdr:to>
      <xdr:col>5</xdr:col>
      <xdr:colOff>500743</xdr:colOff>
      <xdr:row>12</xdr:row>
      <xdr:rowOff>133068</xdr:rowOff>
    </xdr:to>
    <xdr:sp macro="" textlink="">
      <xdr:nvSpPr>
        <xdr:cNvPr id="15" name="Rectangle: Rounded Corners 14">
          <a:extLst>
            <a:ext uri="{FF2B5EF4-FFF2-40B4-BE49-F238E27FC236}">
              <a16:creationId xmlns:a16="http://schemas.microsoft.com/office/drawing/2014/main" id="{8AEDBA7C-155D-4C59-D88D-E9CA571CD569}"/>
            </a:ext>
          </a:extLst>
        </xdr:cNvPr>
        <xdr:cNvSpPr/>
      </xdr:nvSpPr>
      <xdr:spPr>
        <a:xfrm>
          <a:off x="2220686" y="1077681"/>
          <a:ext cx="1328057" cy="1276073"/>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i="1" u="sng">
              <a:solidFill>
                <a:srgbClr val="1B2A4A"/>
              </a:solidFill>
              <a:effectLst/>
              <a:latin typeface="+mn-lt"/>
              <a:ea typeface="+mn-ea"/>
              <a:cs typeface="+mn-cs"/>
            </a:rPr>
            <a:t>country</a:t>
          </a:r>
          <a:r>
            <a:rPr lang="en-GB" sz="1800" b="1" i="1" u="sng" baseline="0">
              <a:solidFill>
                <a:schemeClr val="tx1"/>
              </a:solidFill>
              <a:effectLst/>
              <a:latin typeface="+mn-lt"/>
              <a:ea typeface="+mn-ea"/>
              <a:cs typeface="+mn-cs"/>
            </a:rPr>
            <a:t> </a:t>
          </a:r>
          <a:endParaRPr lang="en-GB" sz="1800">
            <a:solidFill>
              <a:schemeClr val="tx1"/>
            </a:solidFill>
            <a:effectLst/>
          </a:endParaRPr>
        </a:p>
      </xdr:txBody>
    </xdr:sp>
    <xdr:clientData/>
  </xdr:twoCellAnchor>
  <xdr:twoCellAnchor>
    <xdr:from>
      <xdr:col>6</xdr:col>
      <xdr:colOff>32657</xdr:colOff>
      <xdr:row>5</xdr:row>
      <xdr:rowOff>152395</xdr:rowOff>
    </xdr:from>
    <xdr:to>
      <xdr:col>8</xdr:col>
      <xdr:colOff>152400</xdr:colOff>
      <xdr:row>12</xdr:row>
      <xdr:rowOff>133068</xdr:rowOff>
    </xdr:to>
    <xdr:sp macro="" textlink="">
      <xdr:nvSpPr>
        <xdr:cNvPr id="16" name="Rectangle: Rounded Corners 15">
          <a:extLst>
            <a:ext uri="{FF2B5EF4-FFF2-40B4-BE49-F238E27FC236}">
              <a16:creationId xmlns:a16="http://schemas.microsoft.com/office/drawing/2014/main" id="{31FBEC78-62A5-F0EB-AAA0-EA4C50E778F7}"/>
            </a:ext>
          </a:extLst>
        </xdr:cNvPr>
        <xdr:cNvSpPr/>
      </xdr:nvSpPr>
      <xdr:spPr>
        <a:xfrm>
          <a:off x="3690257" y="1077681"/>
          <a:ext cx="1338943" cy="1276073"/>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i="1" u="sng">
              <a:solidFill>
                <a:srgbClr val="1B2A4A"/>
              </a:solidFill>
              <a:effectLst/>
              <a:latin typeface="+mn-lt"/>
              <a:ea typeface="+mn-ea"/>
              <a:cs typeface="+mn-cs"/>
            </a:rPr>
            <a:t>Rgion</a:t>
          </a:r>
          <a:endParaRPr lang="en-GB" b="1">
            <a:solidFill>
              <a:srgbClr val="1B2A4A"/>
            </a:solidFill>
            <a:effectLst/>
          </a:endParaRPr>
        </a:p>
      </xdr:txBody>
    </xdr:sp>
    <xdr:clientData/>
  </xdr:twoCellAnchor>
  <xdr:twoCellAnchor>
    <xdr:from>
      <xdr:col>1</xdr:col>
      <xdr:colOff>163285</xdr:colOff>
      <xdr:row>2</xdr:row>
      <xdr:rowOff>97971</xdr:rowOff>
    </xdr:from>
    <xdr:to>
      <xdr:col>6</xdr:col>
      <xdr:colOff>163285</xdr:colOff>
      <xdr:row>4</xdr:row>
      <xdr:rowOff>108856</xdr:rowOff>
    </xdr:to>
    <xdr:sp macro="" textlink="">
      <xdr:nvSpPr>
        <xdr:cNvPr id="20" name="Rectangle: Rounded Corners 19">
          <a:extLst>
            <a:ext uri="{FF2B5EF4-FFF2-40B4-BE49-F238E27FC236}">
              <a16:creationId xmlns:a16="http://schemas.microsoft.com/office/drawing/2014/main" id="{F5F46BD1-9F70-3A06-EE7D-3C4041AD5BEB}"/>
            </a:ext>
          </a:extLst>
        </xdr:cNvPr>
        <xdr:cNvSpPr/>
      </xdr:nvSpPr>
      <xdr:spPr>
        <a:xfrm>
          <a:off x="772885" y="468085"/>
          <a:ext cx="304800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1" i="1" u="sng">
              <a:solidFill>
                <a:srgbClr val="385F7C"/>
              </a:solidFill>
              <a:effectLst/>
              <a:latin typeface="+mn-lt"/>
              <a:ea typeface="+mn-ea"/>
              <a:cs typeface="+mn-cs"/>
            </a:rPr>
            <a:t>Global Market Overview</a:t>
          </a:r>
          <a:endParaRPr lang="en-GB" sz="2000">
            <a:solidFill>
              <a:srgbClr val="385F7C"/>
            </a:solidFill>
            <a:effectLst/>
          </a:endParaRPr>
        </a:p>
        <a:p>
          <a:pPr algn="l"/>
          <a:endParaRPr lang="en-GB" sz="1600"/>
        </a:p>
      </xdr:txBody>
    </xdr:sp>
    <xdr:clientData/>
  </xdr:twoCellAnchor>
  <xdr:twoCellAnchor>
    <xdr:from>
      <xdr:col>8</xdr:col>
      <xdr:colOff>544286</xdr:colOff>
      <xdr:row>5</xdr:row>
      <xdr:rowOff>32657</xdr:rowOff>
    </xdr:from>
    <xdr:to>
      <xdr:col>16</xdr:col>
      <xdr:colOff>239486</xdr:colOff>
      <xdr:row>20</xdr:row>
      <xdr:rowOff>0</xdr:rowOff>
    </xdr:to>
    <xdr:graphicFrame macro="">
      <xdr:nvGraphicFramePr>
        <xdr:cNvPr id="22" name="Chart 21">
          <a:extLst>
            <a:ext uri="{FF2B5EF4-FFF2-40B4-BE49-F238E27FC236}">
              <a16:creationId xmlns:a16="http://schemas.microsoft.com/office/drawing/2014/main" id="{3862029C-3A94-4DDB-9FF0-925F42831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555171</xdr:colOff>
      <xdr:row>5</xdr:row>
      <xdr:rowOff>119738</xdr:rowOff>
    </xdr:from>
    <xdr:to>
      <xdr:col>17</xdr:col>
      <xdr:colOff>239486</xdr:colOff>
      <xdr:row>7</xdr:row>
      <xdr:rowOff>100411</xdr:rowOff>
    </xdr:to>
    <xdr:sp macro="" textlink="">
      <xdr:nvSpPr>
        <xdr:cNvPr id="23" name="Rectangle: Rounded Corners 22">
          <a:extLst>
            <a:ext uri="{FF2B5EF4-FFF2-40B4-BE49-F238E27FC236}">
              <a16:creationId xmlns:a16="http://schemas.microsoft.com/office/drawing/2014/main" id="{48844F07-8C7B-510F-905F-D71FB583D9A8}"/>
            </a:ext>
          </a:extLst>
        </xdr:cNvPr>
        <xdr:cNvSpPr/>
      </xdr:nvSpPr>
      <xdr:spPr>
        <a:xfrm>
          <a:off x="8479971" y="1045024"/>
          <a:ext cx="2122715" cy="350787"/>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i="1">
              <a:solidFill>
                <a:schemeClr val="tx1"/>
              </a:solidFill>
            </a:rPr>
            <a:t>Growth</a:t>
          </a:r>
          <a:r>
            <a:rPr lang="en-GB" sz="1400" b="1" i="1" baseline="0">
              <a:solidFill>
                <a:schemeClr val="tx1"/>
              </a:solidFill>
            </a:rPr>
            <a:t>  Value By Region</a:t>
          </a:r>
          <a:endParaRPr lang="en-GB" sz="1400" b="1" i="1">
            <a:solidFill>
              <a:schemeClr val="tx1"/>
            </a:solidFill>
          </a:endParaRPr>
        </a:p>
      </xdr:txBody>
    </xdr:sp>
    <xdr:clientData/>
  </xdr:twoCellAnchor>
  <xdr:twoCellAnchor>
    <xdr:from>
      <xdr:col>3</xdr:col>
      <xdr:colOff>359229</xdr:colOff>
      <xdr:row>21</xdr:row>
      <xdr:rowOff>54429</xdr:rowOff>
    </xdr:from>
    <xdr:to>
      <xdr:col>8</xdr:col>
      <xdr:colOff>195944</xdr:colOff>
      <xdr:row>23</xdr:row>
      <xdr:rowOff>10886</xdr:rowOff>
    </xdr:to>
    <xdr:sp macro="" textlink="">
      <xdr:nvSpPr>
        <xdr:cNvPr id="26" name="Rectangle: Rounded Corners 25">
          <a:extLst>
            <a:ext uri="{FF2B5EF4-FFF2-40B4-BE49-F238E27FC236}">
              <a16:creationId xmlns:a16="http://schemas.microsoft.com/office/drawing/2014/main" id="{FF541219-F5F1-449C-A62D-CD04E381526A}"/>
            </a:ext>
          </a:extLst>
        </xdr:cNvPr>
        <xdr:cNvSpPr/>
      </xdr:nvSpPr>
      <xdr:spPr>
        <a:xfrm>
          <a:off x="2188029" y="3940629"/>
          <a:ext cx="2884715" cy="326571"/>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i="1">
              <a:solidFill>
                <a:schemeClr val="tx1"/>
              </a:solidFill>
            </a:rPr>
            <a:t>The</a:t>
          </a:r>
          <a:r>
            <a:rPr lang="en-GB" sz="1600" b="1" i="1" baseline="0">
              <a:solidFill>
                <a:schemeClr val="tx1"/>
              </a:solidFill>
            </a:rPr>
            <a:t> Most Dynamice Markets</a:t>
          </a:r>
          <a:endParaRPr lang="en-GB" sz="1600" b="1" i="1">
            <a:solidFill>
              <a:schemeClr val="tx1"/>
            </a:solidFill>
          </a:endParaRPr>
        </a:p>
      </xdr:txBody>
    </xdr:sp>
    <xdr:clientData/>
  </xdr:twoCellAnchor>
  <xdr:twoCellAnchor>
    <xdr:from>
      <xdr:col>8</xdr:col>
      <xdr:colOff>367890</xdr:colOff>
      <xdr:row>20</xdr:row>
      <xdr:rowOff>60985</xdr:rowOff>
    </xdr:from>
    <xdr:to>
      <xdr:col>17</xdr:col>
      <xdr:colOff>87086</xdr:colOff>
      <xdr:row>35</xdr:row>
      <xdr:rowOff>28328</xdr:rowOff>
    </xdr:to>
    <xdr:graphicFrame macro="">
      <xdr:nvGraphicFramePr>
        <xdr:cNvPr id="11" name="Chart 10">
          <a:extLst>
            <a:ext uri="{FF2B5EF4-FFF2-40B4-BE49-F238E27FC236}">
              <a16:creationId xmlns:a16="http://schemas.microsoft.com/office/drawing/2014/main" id="{00645453-8AF4-49AB-87CA-992C413C8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293915</xdr:colOff>
      <xdr:row>21</xdr:row>
      <xdr:rowOff>1</xdr:rowOff>
    </xdr:from>
    <xdr:to>
      <xdr:col>16</xdr:col>
      <xdr:colOff>326571</xdr:colOff>
      <xdr:row>22</xdr:row>
      <xdr:rowOff>130630</xdr:rowOff>
    </xdr:to>
    <xdr:sp macro="" textlink="">
      <xdr:nvSpPr>
        <xdr:cNvPr id="12" name="Rectangle: Rounded Corners 11">
          <a:extLst>
            <a:ext uri="{FF2B5EF4-FFF2-40B4-BE49-F238E27FC236}">
              <a16:creationId xmlns:a16="http://schemas.microsoft.com/office/drawing/2014/main" id="{929992FB-D3F6-3DFA-96E4-13C67B3DECA3}"/>
            </a:ext>
          </a:extLst>
        </xdr:cNvPr>
        <xdr:cNvSpPr/>
      </xdr:nvSpPr>
      <xdr:spPr>
        <a:xfrm>
          <a:off x="6999515" y="3886201"/>
          <a:ext cx="3080656" cy="315686"/>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i="1">
              <a:solidFill>
                <a:schemeClr val="tx1"/>
              </a:solidFill>
            </a:rPr>
            <a:t>The Imported Value in USD By Region </a:t>
          </a:r>
        </a:p>
      </xdr:txBody>
    </xdr:sp>
    <xdr:clientData/>
  </xdr:twoCellAnchor>
  <xdr:twoCellAnchor>
    <xdr:from>
      <xdr:col>22</xdr:col>
      <xdr:colOff>152400</xdr:colOff>
      <xdr:row>5</xdr:row>
      <xdr:rowOff>130626</xdr:rowOff>
    </xdr:from>
    <xdr:to>
      <xdr:col>26</xdr:col>
      <xdr:colOff>130628</xdr:colOff>
      <xdr:row>7</xdr:row>
      <xdr:rowOff>111299</xdr:rowOff>
    </xdr:to>
    <xdr:sp macro="" textlink="">
      <xdr:nvSpPr>
        <xdr:cNvPr id="13" name="Rectangle: Rounded Corners 12">
          <a:extLst>
            <a:ext uri="{FF2B5EF4-FFF2-40B4-BE49-F238E27FC236}">
              <a16:creationId xmlns:a16="http://schemas.microsoft.com/office/drawing/2014/main" id="{1F7F91E4-E2F9-D767-BC02-1487F5FD9ACA}"/>
            </a:ext>
          </a:extLst>
        </xdr:cNvPr>
        <xdr:cNvSpPr/>
      </xdr:nvSpPr>
      <xdr:spPr>
        <a:xfrm>
          <a:off x="13563600" y="1055912"/>
          <a:ext cx="2416628" cy="350787"/>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i="1">
              <a:solidFill>
                <a:schemeClr val="tx1"/>
              </a:solidFill>
            </a:rPr>
            <a:t>Top 10 Importers</a:t>
          </a:r>
          <a:r>
            <a:rPr lang="en-GB" sz="1600" b="1" i="1" baseline="0">
              <a:solidFill>
                <a:schemeClr val="tx1"/>
              </a:solidFill>
            </a:rPr>
            <a:t> in USD </a:t>
          </a:r>
          <a:endParaRPr lang="en-GB" sz="1600" b="1" i="1">
            <a:solidFill>
              <a:schemeClr val="tx1"/>
            </a:solidFill>
          </a:endParaRPr>
        </a:p>
      </xdr:txBody>
    </xdr:sp>
    <xdr:clientData/>
  </xdr:twoCellAnchor>
  <xdr:twoCellAnchor>
    <xdr:from>
      <xdr:col>1</xdr:col>
      <xdr:colOff>348343</xdr:colOff>
      <xdr:row>8</xdr:row>
      <xdr:rowOff>76195</xdr:rowOff>
    </xdr:from>
    <xdr:to>
      <xdr:col>3</xdr:col>
      <xdr:colOff>195943</xdr:colOff>
      <xdr:row>10</xdr:row>
      <xdr:rowOff>43539</xdr:rowOff>
    </xdr:to>
    <xdr:sp macro="" textlink="'Pinot Ph 1'!$I$15">
      <xdr:nvSpPr>
        <xdr:cNvPr id="17" name="TextBox 16">
          <a:extLst>
            <a:ext uri="{FF2B5EF4-FFF2-40B4-BE49-F238E27FC236}">
              <a16:creationId xmlns:a16="http://schemas.microsoft.com/office/drawing/2014/main" id="{B1798507-9149-4266-9376-7C62E0925B7A}"/>
            </a:ext>
          </a:extLst>
        </xdr:cNvPr>
        <xdr:cNvSpPr txBox="1"/>
      </xdr:nvSpPr>
      <xdr:spPr>
        <a:xfrm>
          <a:off x="957943" y="1556652"/>
          <a:ext cx="1066800" cy="337458"/>
        </a:xfrm>
        <a:prstGeom prst="rect">
          <a:avLst/>
        </a:prstGeom>
        <a:solidFill>
          <a:srgbClr val="EEF2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C1F6E7-0CD2-4306-807E-7B27FC1CF765}" type="TxLink">
            <a:rPr lang="en-US" sz="1600" b="1" i="1" u="none" strike="noStrike">
              <a:ln>
                <a:noFill/>
              </a:ln>
              <a:solidFill>
                <a:srgbClr val="385F7C"/>
              </a:solidFill>
              <a:effectLst>
                <a:innerShdw blurRad="63500" dist="50800" dir="13500000">
                  <a:prstClr val="black">
                    <a:alpha val="50000"/>
                  </a:prstClr>
                </a:innerShdw>
              </a:effectLst>
              <a:latin typeface="Calibri"/>
              <a:ea typeface="Calibri"/>
              <a:cs typeface="Calibri"/>
            </a:rPr>
            <a:pPr algn="ctr"/>
            <a:t>432771</a:t>
          </a:fld>
          <a:endParaRPr lang="en-GB" sz="1600" b="1" i="1">
            <a:ln>
              <a:noFill/>
            </a:ln>
            <a:solidFill>
              <a:srgbClr val="385F7C"/>
            </a:solidFill>
            <a:effectLst>
              <a:innerShdw blurRad="63500" dist="50800" dir="13500000">
                <a:prstClr val="black">
                  <a:alpha val="50000"/>
                </a:prstClr>
              </a:innerShdw>
            </a:effectLst>
          </a:endParaRPr>
        </a:p>
      </xdr:txBody>
    </xdr:sp>
    <xdr:clientData/>
  </xdr:twoCellAnchor>
  <xdr:twoCellAnchor>
    <xdr:from>
      <xdr:col>17</xdr:col>
      <xdr:colOff>370114</xdr:colOff>
      <xdr:row>21</xdr:row>
      <xdr:rowOff>10886</xdr:rowOff>
    </xdr:from>
    <xdr:to>
      <xdr:col>26</xdr:col>
      <xdr:colOff>152400</xdr:colOff>
      <xdr:row>37</xdr:row>
      <xdr:rowOff>43543</xdr:rowOff>
    </xdr:to>
    <xdr:sp macro="" textlink="">
      <xdr:nvSpPr>
        <xdr:cNvPr id="24" name="Rectangle: Rounded Corners 23">
          <a:extLst>
            <a:ext uri="{FF2B5EF4-FFF2-40B4-BE49-F238E27FC236}">
              <a16:creationId xmlns:a16="http://schemas.microsoft.com/office/drawing/2014/main" id="{B325C07B-A6F2-725F-7853-61EB1822F6BC}"/>
            </a:ext>
          </a:extLst>
        </xdr:cNvPr>
        <xdr:cNvSpPr/>
      </xdr:nvSpPr>
      <xdr:spPr>
        <a:xfrm>
          <a:off x="10733314" y="3897086"/>
          <a:ext cx="5268686" cy="2993571"/>
        </a:xfrm>
        <a:prstGeom prst="roundRect">
          <a:avLst>
            <a:gd name="adj" fmla="val 374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435428</xdr:colOff>
      <xdr:row>8</xdr:row>
      <xdr:rowOff>76195</xdr:rowOff>
    </xdr:from>
    <xdr:to>
      <xdr:col>5</xdr:col>
      <xdr:colOff>283028</xdr:colOff>
      <xdr:row>10</xdr:row>
      <xdr:rowOff>43539</xdr:rowOff>
    </xdr:to>
    <xdr:sp macro="" textlink="'Pinot Ph 1'!$B$175">
      <xdr:nvSpPr>
        <xdr:cNvPr id="18" name="TextBox 17">
          <a:extLst>
            <a:ext uri="{FF2B5EF4-FFF2-40B4-BE49-F238E27FC236}">
              <a16:creationId xmlns:a16="http://schemas.microsoft.com/office/drawing/2014/main" id="{01D092AE-2818-4146-A8E4-454C8E2BDFF5}"/>
            </a:ext>
          </a:extLst>
        </xdr:cNvPr>
        <xdr:cNvSpPr txBox="1"/>
      </xdr:nvSpPr>
      <xdr:spPr>
        <a:xfrm>
          <a:off x="2264228" y="1556652"/>
          <a:ext cx="1066800" cy="337458"/>
        </a:xfrm>
        <a:prstGeom prst="rect">
          <a:avLst/>
        </a:prstGeom>
        <a:solidFill>
          <a:srgbClr val="EEF2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62A33F-2B33-46B1-B47F-CB17F7D1351B}" type="TxLink">
            <a:rPr lang="en-US" sz="1600" b="1" i="1" u="none" strike="noStrike">
              <a:ln>
                <a:noFill/>
              </a:ln>
              <a:solidFill>
                <a:srgbClr val="385F7C"/>
              </a:solidFill>
              <a:effectLst>
                <a:innerShdw blurRad="63500" dist="50800" dir="13500000">
                  <a:prstClr val="black">
                    <a:alpha val="50000"/>
                  </a:prstClr>
                </a:innerShdw>
              </a:effectLst>
              <a:latin typeface="Calibri"/>
              <a:ea typeface="Calibri"/>
              <a:cs typeface="Calibri"/>
            </a:rPr>
            <a:pPr algn="ctr"/>
            <a:t>1019515</a:t>
          </a:fld>
          <a:endParaRPr lang="en-GB" sz="2400" b="1" i="1" u="none" strike="noStrike">
            <a:ln>
              <a:noFill/>
            </a:ln>
            <a:solidFill>
              <a:srgbClr val="385F7C"/>
            </a:solidFill>
            <a:effectLst>
              <a:innerShdw blurRad="63500" dist="50800" dir="13500000">
                <a:prstClr val="black">
                  <a:alpha val="50000"/>
                </a:prstClr>
              </a:innerShdw>
            </a:effectLst>
            <a:latin typeface="Calibri"/>
            <a:ea typeface="Calibri"/>
            <a:cs typeface="Calibri"/>
          </a:endParaRPr>
        </a:p>
      </xdr:txBody>
    </xdr:sp>
    <xdr:clientData/>
  </xdr:twoCellAnchor>
  <xdr:twoCellAnchor>
    <xdr:from>
      <xdr:col>6</xdr:col>
      <xdr:colOff>130628</xdr:colOff>
      <xdr:row>8</xdr:row>
      <xdr:rowOff>87081</xdr:rowOff>
    </xdr:from>
    <xdr:to>
      <xdr:col>7</xdr:col>
      <xdr:colOff>587828</xdr:colOff>
      <xdr:row>10</xdr:row>
      <xdr:rowOff>54425</xdr:rowOff>
    </xdr:to>
    <xdr:sp macro="" textlink="'Pinot Ph 1'!$I$60">
      <xdr:nvSpPr>
        <xdr:cNvPr id="19" name="TextBox 18">
          <a:extLst>
            <a:ext uri="{FF2B5EF4-FFF2-40B4-BE49-F238E27FC236}">
              <a16:creationId xmlns:a16="http://schemas.microsoft.com/office/drawing/2014/main" id="{5AC5ECE8-168C-E72F-0DCB-62854B70BD52}"/>
            </a:ext>
          </a:extLst>
        </xdr:cNvPr>
        <xdr:cNvSpPr txBox="1"/>
      </xdr:nvSpPr>
      <xdr:spPr>
        <a:xfrm>
          <a:off x="3788228" y="1567538"/>
          <a:ext cx="1066800" cy="337458"/>
        </a:xfrm>
        <a:prstGeom prst="rect">
          <a:avLst/>
        </a:prstGeom>
        <a:solidFill>
          <a:srgbClr val="EEF2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E425DB-0B24-414B-84D3-8924701AB53A}" type="TxLink">
            <a:rPr lang="en-US" sz="1800" b="1" i="1" u="none" strike="noStrike">
              <a:ln>
                <a:noFill/>
              </a:ln>
              <a:solidFill>
                <a:srgbClr val="385F7C"/>
              </a:solidFill>
              <a:effectLst>
                <a:innerShdw blurRad="63500" dist="50800" dir="13500000">
                  <a:prstClr val="black">
                    <a:alpha val="50000"/>
                  </a:prstClr>
                </a:innerShdw>
              </a:effectLst>
              <a:latin typeface="Calibri"/>
              <a:ea typeface="Calibri"/>
              <a:cs typeface="Calibri"/>
            </a:rPr>
            <a:pPr algn="ctr"/>
            <a:t>5997.1</a:t>
          </a:fld>
          <a:endParaRPr lang="en-GB" sz="4000" b="1" i="1" u="none" strike="noStrike">
            <a:ln>
              <a:noFill/>
            </a:ln>
            <a:solidFill>
              <a:srgbClr val="385F7C"/>
            </a:solidFill>
            <a:effectLst>
              <a:innerShdw blurRad="63500" dist="50800" dir="13500000">
                <a:prstClr val="black">
                  <a:alpha val="50000"/>
                </a:prstClr>
              </a:innerShdw>
            </a:effectLst>
            <a:latin typeface="Calibri"/>
            <a:ea typeface="Calibri"/>
            <a:cs typeface="Calibri"/>
          </a:endParaRPr>
        </a:p>
      </xdr:txBody>
    </xdr:sp>
    <xdr:clientData/>
  </xdr:twoCellAnchor>
  <xdr:twoCellAnchor>
    <xdr:from>
      <xdr:col>20</xdr:col>
      <xdr:colOff>43543</xdr:colOff>
      <xdr:row>21</xdr:row>
      <xdr:rowOff>54428</xdr:rowOff>
    </xdr:from>
    <xdr:to>
      <xdr:col>26</xdr:col>
      <xdr:colOff>130629</xdr:colOff>
      <xdr:row>23</xdr:row>
      <xdr:rowOff>35101</xdr:rowOff>
    </xdr:to>
    <xdr:sp macro="" textlink="">
      <xdr:nvSpPr>
        <xdr:cNvPr id="27" name="Rectangle: Rounded Corners 26">
          <a:extLst>
            <a:ext uri="{FF2B5EF4-FFF2-40B4-BE49-F238E27FC236}">
              <a16:creationId xmlns:a16="http://schemas.microsoft.com/office/drawing/2014/main" id="{752C76B6-3204-CC19-AF3C-5A6E94E869D1}"/>
            </a:ext>
          </a:extLst>
        </xdr:cNvPr>
        <xdr:cNvSpPr/>
      </xdr:nvSpPr>
      <xdr:spPr>
        <a:xfrm>
          <a:off x="12235543" y="3940628"/>
          <a:ext cx="3744686" cy="350787"/>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i="1">
              <a:solidFill>
                <a:schemeClr val="tx1"/>
              </a:solidFill>
            </a:rPr>
            <a:t>Growth</a:t>
          </a:r>
          <a:r>
            <a:rPr lang="en-GB" sz="1400" b="1" i="1" baseline="0">
              <a:solidFill>
                <a:schemeClr val="tx1"/>
              </a:solidFill>
            </a:rPr>
            <a:t> Value and Imported in USD By Region</a:t>
          </a:r>
          <a:endParaRPr lang="en-GB" sz="1400" b="1" i="1">
            <a:solidFill>
              <a:schemeClr val="tx1"/>
            </a:solidFill>
          </a:endParaRPr>
        </a:p>
      </xdr:txBody>
    </xdr:sp>
    <xdr:clientData/>
  </xdr:twoCellAnchor>
  <xdr:twoCellAnchor>
    <xdr:from>
      <xdr:col>17</xdr:col>
      <xdr:colOff>468085</xdr:colOff>
      <xdr:row>6</xdr:row>
      <xdr:rowOff>68348</xdr:rowOff>
    </xdr:from>
    <xdr:to>
      <xdr:col>25</xdr:col>
      <xdr:colOff>370114</xdr:colOff>
      <xdr:row>19</xdr:row>
      <xdr:rowOff>174169</xdr:rowOff>
    </xdr:to>
    <xdr:graphicFrame macro="">
      <xdr:nvGraphicFramePr>
        <xdr:cNvPr id="28" name="Chart 27">
          <a:extLst>
            <a:ext uri="{FF2B5EF4-FFF2-40B4-BE49-F238E27FC236}">
              <a16:creationId xmlns:a16="http://schemas.microsoft.com/office/drawing/2014/main" id="{730AB59B-D289-4E80-8F86-6D99CE0D6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352973</xdr:colOff>
      <xdr:row>13</xdr:row>
      <xdr:rowOff>174172</xdr:rowOff>
    </xdr:from>
    <xdr:to>
      <xdr:col>4</xdr:col>
      <xdr:colOff>195943</xdr:colOff>
      <xdr:row>20</xdr:row>
      <xdr:rowOff>113600</xdr:rowOff>
    </xdr:to>
    <mc:AlternateContent xmlns:mc="http://schemas.openxmlformats.org/markup-compatibility/2006" xmlns:a14="http://schemas.microsoft.com/office/drawing/2010/main">
      <mc:Choice Requires="a14">
        <xdr:graphicFrame macro="">
          <xdr:nvGraphicFramePr>
            <xdr:cNvPr id="31" name="Concerterntion of supplier 5">
              <a:extLst>
                <a:ext uri="{FF2B5EF4-FFF2-40B4-BE49-F238E27FC236}">
                  <a16:creationId xmlns:a16="http://schemas.microsoft.com/office/drawing/2014/main" id="{92F82AF8-BF54-4CF2-874E-4B29D2CD2014}"/>
                </a:ext>
              </a:extLst>
            </xdr:cNvPr>
            <xdr:cNvGraphicFramePr/>
          </xdr:nvGraphicFramePr>
          <xdr:xfrm>
            <a:off x="0" y="0"/>
            <a:ext cx="0" cy="0"/>
          </xdr:xfrm>
          <a:graphic>
            <a:graphicData uri="http://schemas.microsoft.com/office/drawing/2010/slicer">
              <sle:slicer xmlns:sle="http://schemas.microsoft.com/office/drawing/2010/slicer" name="Concerterntion of supplier 5"/>
            </a:graphicData>
          </a:graphic>
        </xdr:graphicFrame>
      </mc:Choice>
      <mc:Fallback xmlns="">
        <xdr:sp macro="" textlink="">
          <xdr:nvSpPr>
            <xdr:cNvPr id="0" name=""/>
            <xdr:cNvSpPr>
              <a:spLocks noTextEdit="1"/>
            </xdr:cNvSpPr>
          </xdr:nvSpPr>
          <xdr:spPr>
            <a:xfrm>
              <a:off x="962573" y="2579915"/>
              <a:ext cx="1671770" cy="12348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26402</xdr:colOff>
      <xdr:row>14</xdr:row>
      <xdr:rowOff>10884</xdr:rowOff>
    </xdr:from>
    <xdr:to>
      <xdr:col>8</xdr:col>
      <xdr:colOff>174172</xdr:colOff>
      <xdr:row>20</xdr:row>
      <xdr:rowOff>97971</xdr:rowOff>
    </xdr:to>
    <mc:AlternateContent xmlns:mc="http://schemas.openxmlformats.org/markup-compatibility/2006" xmlns:a14="http://schemas.microsoft.com/office/drawing/2010/main">
      <mc:Choice Requires="a14">
        <xdr:graphicFrame macro="">
          <xdr:nvGraphicFramePr>
            <xdr:cNvPr id="32" name="Region 4">
              <a:extLst>
                <a:ext uri="{FF2B5EF4-FFF2-40B4-BE49-F238E27FC236}">
                  <a16:creationId xmlns:a16="http://schemas.microsoft.com/office/drawing/2014/main" id="{35C08719-B934-4939-B347-B9B6C4ECB9A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3074402" y="2601684"/>
              <a:ext cx="1976570" cy="11974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200574</xdr:colOff>
      <xdr:row>21</xdr:row>
      <xdr:rowOff>76199</xdr:rowOff>
    </xdr:from>
    <xdr:to>
      <xdr:col>8</xdr:col>
      <xdr:colOff>163286</xdr:colOff>
      <xdr:row>37</xdr:row>
      <xdr:rowOff>0</xdr:rowOff>
    </xdr:to>
    <xdr:graphicFrame macro="">
      <xdr:nvGraphicFramePr>
        <xdr:cNvPr id="14" name="Chart 13">
          <a:extLst>
            <a:ext uri="{FF2B5EF4-FFF2-40B4-BE49-F238E27FC236}">
              <a16:creationId xmlns:a16="http://schemas.microsoft.com/office/drawing/2014/main" id="{46F41459-A2CE-4AB8-A800-7F9E0DAE3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370115</xdr:colOff>
      <xdr:row>21</xdr:row>
      <xdr:rowOff>97971</xdr:rowOff>
    </xdr:from>
    <xdr:to>
      <xdr:col>26</xdr:col>
      <xdr:colOff>261257</xdr:colOff>
      <xdr:row>37</xdr:row>
      <xdr:rowOff>87087</xdr:rowOff>
    </xdr:to>
    <xdr:graphicFrame macro="">
      <xdr:nvGraphicFramePr>
        <xdr:cNvPr id="30" name="Chart 29">
          <a:extLst>
            <a:ext uri="{FF2B5EF4-FFF2-40B4-BE49-F238E27FC236}">
              <a16:creationId xmlns:a16="http://schemas.microsoft.com/office/drawing/2014/main" id="{22A5BCB5-FA71-4C0E-8815-0133960DB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800100</xdr:colOff>
      <xdr:row>4</xdr:row>
      <xdr:rowOff>91440</xdr:rowOff>
    </xdr:from>
    <xdr:to>
      <xdr:col>7</xdr:col>
      <xdr:colOff>243840</xdr:colOff>
      <xdr:row>18</xdr:row>
      <xdr:rowOff>156210</xdr:rowOff>
    </xdr:to>
    <xdr:graphicFrame macro="">
      <xdr:nvGraphicFramePr>
        <xdr:cNvPr id="2" name="Chart 1">
          <a:extLst>
            <a:ext uri="{FF2B5EF4-FFF2-40B4-BE49-F238E27FC236}">
              <a16:creationId xmlns:a16="http://schemas.microsoft.com/office/drawing/2014/main" id="{37D8A0E7-2B76-1F12-0B05-99DDADAB4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270709</xdr:colOff>
      <xdr:row>58</xdr:row>
      <xdr:rowOff>10025</xdr:rowOff>
    </xdr:from>
    <xdr:to>
      <xdr:col>4</xdr:col>
      <xdr:colOff>1864893</xdr:colOff>
      <xdr:row>74</xdr:row>
      <xdr:rowOff>80209</xdr:rowOff>
    </xdr:to>
    <xdr:graphicFrame macro="">
      <xdr:nvGraphicFramePr>
        <xdr:cNvPr id="4" name="Chart 3">
          <a:extLst>
            <a:ext uri="{FF2B5EF4-FFF2-40B4-BE49-F238E27FC236}">
              <a16:creationId xmlns:a16="http://schemas.microsoft.com/office/drawing/2014/main" id="{3F3DBBB3-2C17-47A2-6414-F003442A3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197223</xdr:colOff>
      <xdr:row>3</xdr:row>
      <xdr:rowOff>47295</xdr:rowOff>
    </xdr:from>
    <xdr:to>
      <xdr:col>18</xdr:col>
      <xdr:colOff>44823</xdr:colOff>
      <xdr:row>16</xdr:row>
      <xdr:rowOff>125506</xdr:rowOff>
    </xdr:to>
    <xdr:graphicFrame macro="">
      <xdr:nvGraphicFramePr>
        <xdr:cNvPr id="2" name="Chart 1">
          <a:extLst>
            <a:ext uri="{FF2B5EF4-FFF2-40B4-BE49-F238E27FC236}">
              <a16:creationId xmlns:a16="http://schemas.microsoft.com/office/drawing/2014/main" id="{E71447D7-62E9-912B-3608-4596709E0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300747</xdr:colOff>
      <xdr:row>3</xdr:row>
      <xdr:rowOff>74590</xdr:rowOff>
    </xdr:from>
    <xdr:to>
      <xdr:col>8</xdr:col>
      <xdr:colOff>15240</xdr:colOff>
      <xdr:row>18</xdr:row>
      <xdr:rowOff>58823</xdr:rowOff>
    </xdr:to>
    <xdr:graphicFrame macro="">
      <xdr:nvGraphicFramePr>
        <xdr:cNvPr id="3" name="Chart 2">
          <a:extLst>
            <a:ext uri="{FF2B5EF4-FFF2-40B4-BE49-F238E27FC236}">
              <a16:creationId xmlns:a16="http://schemas.microsoft.com/office/drawing/2014/main" id="{2550A1F6-1067-DCA1-5CA5-4996AC20B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38</xdr:row>
      <xdr:rowOff>63852</xdr:rowOff>
    </xdr:from>
    <xdr:to>
      <xdr:col>4</xdr:col>
      <xdr:colOff>346670</xdr:colOff>
      <xdr:row>52</xdr:row>
      <xdr:rowOff>60349</xdr:rowOff>
    </xdr:to>
    <xdr:graphicFrame macro="">
      <xdr:nvGraphicFramePr>
        <xdr:cNvPr id="4" name="Chart 3">
          <a:extLst>
            <a:ext uri="{FF2B5EF4-FFF2-40B4-BE49-F238E27FC236}">
              <a16:creationId xmlns:a16="http://schemas.microsoft.com/office/drawing/2014/main" id="{02D2FCE6-481B-A98B-E404-3DFF5AAFD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106680</xdr:colOff>
      <xdr:row>25</xdr:row>
      <xdr:rowOff>179998</xdr:rowOff>
    </xdr:from>
    <xdr:to>
      <xdr:col>18</xdr:col>
      <xdr:colOff>295645</xdr:colOff>
      <xdr:row>39</xdr:row>
      <xdr:rowOff>157482</xdr:rowOff>
    </xdr:to>
    <xdr:graphicFrame macro="">
      <xdr:nvGraphicFramePr>
        <xdr:cNvPr id="6" name="Chart 5">
          <a:extLst>
            <a:ext uri="{FF2B5EF4-FFF2-40B4-BE49-F238E27FC236}">
              <a16:creationId xmlns:a16="http://schemas.microsoft.com/office/drawing/2014/main" id="{F29339C6-EE44-5E81-D358-3B28DD1A4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707696</xdr:colOff>
      <xdr:row>40</xdr:row>
      <xdr:rowOff>33195</xdr:rowOff>
    </xdr:from>
    <xdr:to>
      <xdr:col>12</xdr:col>
      <xdr:colOff>53936</xdr:colOff>
      <xdr:row>46</xdr:row>
      <xdr:rowOff>112986</xdr:rowOff>
    </xdr:to>
    <mc:AlternateContent xmlns:mc="http://schemas.openxmlformats.org/markup-compatibility/2006" xmlns:a14="http://schemas.microsoft.com/office/drawing/2010/main">
      <mc:Choice Requires="a14">
        <xdr:graphicFrame macro="">
          <xdr:nvGraphicFramePr>
            <xdr:cNvPr id="7" name="Price Category ">
              <a:extLst>
                <a:ext uri="{FF2B5EF4-FFF2-40B4-BE49-F238E27FC236}">
                  <a16:creationId xmlns:a16="http://schemas.microsoft.com/office/drawing/2014/main" id="{DE8CE244-66DA-23CE-7ED1-02BF6848ACA9}"/>
                </a:ext>
              </a:extLst>
            </xdr:cNvPr>
            <xdr:cNvGraphicFramePr/>
          </xdr:nvGraphicFramePr>
          <xdr:xfrm>
            <a:off x="0" y="0"/>
            <a:ext cx="0" cy="0"/>
          </xdr:xfrm>
          <a:graphic>
            <a:graphicData uri="http://schemas.microsoft.com/office/drawing/2010/slicer">
              <sle:slicer xmlns:sle="http://schemas.microsoft.com/office/drawing/2010/slicer" name="Price Category "/>
            </a:graphicData>
          </a:graphic>
        </xdr:graphicFrame>
      </mc:Choice>
      <mc:Fallback xmlns="">
        <xdr:sp macro="" textlink="">
          <xdr:nvSpPr>
            <xdr:cNvPr id="0" name=""/>
            <xdr:cNvSpPr>
              <a:spLocks noTextEdit="1"/>
            </xdr:cNvSpPr>
          </xdr:nvSpPr>
          <xdr:spPr>
            <a:xfrm>
              <a:off x="10092996" y="7195995"/>
              <a:ext cx="1652314" cy="11465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657286</xdr:colOff>
      <xdr:row>40</xdr:row>
      <xdr:rowOff>29006</xdr:rowOff>
    </xdr:from>
    <xdr:to>
      <xdr:col>10</xdr:col>
      <xdr:colOff>48388</xdr:colOff>
      <xdr:row>47</xdr:row>
      <xdr:rowOff>24581</xdr:rowOff>
    </xdr:to>
    <mc:AlternateContent xmlns:mc="http://schemas.openxmlformats.org/markup-compatibility/2006" xmlns:a14="http://schemas.microsoft.com/office/drawing/2010/main">
      <mc:Choice Requires="a14">
        <xdr:graphicFrame macro="">
          <xdr:nvGraphicFramePr>
            <xdr:cNvPr id="8" name="Trade Agreements ">
              <a:extLst>
                <a:ext uri="{FF2B5EF4-FFF2-40B4-BE49-F238E27FC236}">
                  <a16:creationId xmlns:a16="http://schemas.microsoft.com/office/drawing/2014/main" id="{6B7391C1-3E89-7A0C-402F-EA2B2388E7B9}"/>
                </a:ext>
              </a:extLst>
            </xdr:cNvPr>
            <xdr:cNvGraphicFramePr/>
          </xdr:nvGraphicFramePr>
          <xdr:xfrm>
            <a:off x="0" y="0"/>
            <a:ext cx="0" cy="0"/>
          </xdr:xfrm>
          <a:graphic>
            <a:graphicData uri="http://schemas.microsoft.com/office/drawing/2010/slicer">
              <sle:slicer xmlns:sle="http://schemas.microsoft.com/office/drawing/2010/slicer" name="Trade Agreements "/>
            </a:graphicData>
          </a:graphic>
        </xdr:graphicFrame>
      </mc:Choice>
      <mc:Fallback xmlns="">
        <xdr:sp macro="" textlink="">
          <xdr:nvSpPr>
            <xdr:cNvPr id="0" name=""/>
            <xdr:cNvSpPr>
              <a:spLocks noTextEdit="1"/>
            </xdr:cNvSpPr>
          </xdr:nvSpPr>
          <xdr:spPr>
            <a:xfrm>
              <a:off x="7441544" y="7427780"/>
              <a:ext cx="1828800" cy="12860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60960</xdr:colOff>
      <xdr:row>5</xdr:row>
      <xdr:rowOff>95250</xdr:rowOff>
    </xdr:from>
    <xdr:to>
      <xdr:col>11</xdr:col>
      <xdr:colOff>342900</xdr:colOff>
      <xdr:row>17</xdr:row>
      <xdr:rowOff>91440</xdr:rowOff>
    </xdr:to>
    <xdr:graphicFrame macro="">
      <xdr:nvGraphicFramePr>
        <xdr:cNvPr id="2" name="Chart 1">
          <a:extLst>
            <a:ext uri="{FF2B5EF4-FFF2-40B4-BE49-F238E27FC236}">
              <a16:creationId xmlns:a16="http://schemas.microsoft.com/office/drawing/2014/main" id="{6D7E1A38-CEE8-249C-BC57-8E9A9D62B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381000</xdr:colOff>
      <xdr:row>17</xdr:row>
      <xdr:rowOff>114301</xdr:rowOff>
    </xdr:from>
    <xdr:to>
      <xdr:col>5</xdr:col>
      <xdr:colOff>381000</xdr:colOff>
      <xdr:row>24</xdr:row>
      <xdr:rowOff>99061</xdr:rowOff>
    </xdr:to>
    <mc:AlternateContent xmlns:mc="http://schemas.openxmlformats.org/markup-compatibility/2006" xmlns:a14="http://schemas.microsoft.com/office/drawing/2010/main">
      <mc:Choice Requires="a14">
        <xdr:graphicFrame macro="">
          <xdr:nvGraphicFramePr>
            <xdr:cNvPr id="3" name="Perirtizing">
              <a:extLst>
                <a:ext uri="{FF2B5EF4-FFF2-40B4-BE49-F238E27FC236}">
                  <a16:creationId xmlns:a16="http://schemas.microsoft.com/office/drawing/2014/main" id="{BD1F7D43-D1A1-74FA-0628-A1FFED2CA760}"/>
                </a:ext>
              </a:extLst>
            </xdr:cNvPr>
            <xdr:cNvGraphicFramePr/>
          </xdr:nvGraphicFramePr>
          <xdr:xfrm>
            <a:off x="0" y="0"/>
            <a:ext cx="0" cy="0"/>
          </xdr:xfrm>
          <a:graphic>
            <a:graphicData uri="http://schemas.microsoft.com/office/drawing/2010/slicer">
              <sle:slicer xmlns:sle="http://schemas.microsoft.com/office/drawing/2010/slicer" name="Perirtizing"/>
            </a:graphicData>
          </a:graphic>
        </xdr:graphicFrame>
      </mc:Choice>
      <mc:Fallback xmlns="">
        <xdr:sp macro="" textlink="">
          <xdr:nvSpPr>
            <xdr:cNvPr id="0" name=""/>
            <xdr:cNvSpPr>
              <a:spLocks noTextEdit="1"/>
            </xdr:cNvSpPr>
          </xdr:nvSpPr>
          <xdr:spPr>
            <a:xfrm>
              <a:off x="3581400" y="3223261"/>
              <a:ext cx="1828800" cy="12649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21768</xdr:colOff>
      <xdr:row>2</xdr:row>
      <xdr:rowOff>152387</xdr:rowOff>
    </xdr:from>
    <xdr:to>
      <xdr:col>34</xdr:col>
      <xdr:colOff>554182</xdr:colOff>
      <xdr:row>51</xdr:row>
      <xdr:rowOff>69259</xdr:rowOff>
    </xdr:to>
    <xdr:sp macro="" textlink="">
      <xdr:nvSpPr>
        <xdr:cNvPr id="21" name="Rectangle: Rounded Corners 20">
          <a:extLst>
            <a:ext uri="{FF2B5EF4-FFF2-40B4-BE49-F238E27FC236}">
              <a16:creationId xmlns:a16="http://schemas.microsoft.com/office/drawing/2014/main" id="{873A8A52-B5DE-4E52-939B-7A9E97E020CA}"/>
            </a:ext>
          </a:extLst>
        </xdr:cNvPr>
        <xdr:cNvSpPr/>
      </xdr:nvSpPr>
      <xdr:spPr>
        <a:xfrm>
          <a:off x="21768" y="512605"/>
          <a:ext cx="21258814" cy="8742218"/>
        </a:xfrm>
        <a:prstGeom prst="roundRect">
          <a:avLst>
            <a:gd name="adj" fmla="val 4667"/>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284546</xdr:colOff>
      <xdr:row>4</xdr:row>
      <xdr:rowOff>96969</xdr:rowOff>
    </xdr:from>
    <xdr:to>
      <xdr:col>34</xdr:col>
      <xdr:colOff>415636</xdr:colOff>
      <xdr:row>50</xdr:row>
      <xdr:rowOff>138532</xdr:rowOff>
    </xdr:to>
    <xdr:sp macro="" textlink="">
      <xdr:nvSpPr>
        <xdr:cNvPr id="22" name="Rectangle: Rounded Corners 21">
          <a:extLst>
            <a:ext uri="{FF2B5EF4-FFF2-40B4-BE49-F238E27FC236}">
              <a16:creationId xmlns:a16="http://schemas.microsoft.com/office/drawing/2014/main" id="{973BB7C0-2DF4-40B6-B701-BC30FA644AC5}"/>
            </a:ext>
          </a:extLst>
        </xdr:cNvPr>
        <xdr:cNvSpPr/>
      </xdr:nvSpPr>
      <xdr:spPr>
        <a:xfrm>
          <a:off x="284546" y="817405"/>
          <a:ext cx="20857490" cy="8326582"/>
        </a:xfrm>
        <a:prstGeom prst="roundRect">
          <a:avLst>
            <a:gd name="adj" fmla="val 4667"/>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2743</xdr:colOff>
      <xdr:row>5</xdr:row>
      <xdr:rowOff>69260</xdr:rowOff>
    </xdr:from>
    <xdr:to>
      <xdr:col>33</xdr:col>
      <xdr:colOff>581891</xdr:colOff>
      <xdr:row>10</xdr:row>
      <xdr:rowOff>96969</xdr:rowOff>
    </xdr:to>
    <xdr:sp macro="" textlink="">
      <xdr:nvSpPr>
        <xdr:cNvPr id="23" name="Rectangle: Rounded Corners 22">
          <a:extLst>
            <a:ext uri="{FF2B5EF4-FFF2-40B4-BE49-F238E27FC236}">
              <a16:creationId xmlns:a16="http://schemas.microsoft.com/office/drawing/2014/main" id="{D76428B2-5B81-4FC6-BCFD-1526F42A1A78}"/>
            </a:ext>
          </a:extLst>
        </xdr:cNvPr>
        <xdr:cNvSpPr/>
      </xdr:nvSpPr>
      <xdr:spPr>
        <a:xfrm>
          <a:off x="612343" y="969805"/>
          <a:ext cx="20086348" cy="928255"/>
        </a:xfrm>
        <a:prstGeom prst="roundRect">
          <a:avLst>
            <a:gd name="adj" fmla="val 8451"/>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521301</xdr:colOff>
      <xdr:row>11</xdr:row>
      <xdr:rowOff>16617</xdr:rowOff>
    </xdr:from>
    <xdr:to>
      <xdr:col>7</xdr:col>
      <xdr:colOff>370110</xdr:colOff>
      <xdr:row>30</xdr:row>
      <xdr:rowOff>59365</xdr:rowOff>
    </xdr:to>
    <xdr:sp macro="" textlink="">
      <xdr:nvSpPr>
        <xdr:cNvPr id="24" name="Rectangle: Rounded Corners 23">
          <a:extLst>
            <a:ext uri="{FF2B5EF4-FFF2-40B4-BE49-F238E27FC236}">
              <a16:creationId xmlns:a16="http://schemas.microsoft.com/office/drawing/2014/main" id="{9007E8A0-80A6-4315-AC6E-9C17C37B2B58}"/>
            </a:ext>
          </a:extLst>
        </xdr:cNvPr>
        <xdr:cNvSpPr/>
      </xdr:nvSpPr>
      <xdr:spPr>
        <a:xfrm>
          <a:off x="521301" y="1997817"/>
          <a:ext cx="4116009" cy="3464821"/>
        </a:xfrm>
        <a:prstGeom prst="roundRect">
          <a:avLst>
            <a:gd name="adj" fmla="val 374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536849</xdr:colOff>
      <xdr:row>10</xdr:row>
      <xdr:rowOff>145918</xdr:rowOff>
    </xdr:from>
    <xdr:to>
      <xdr:col>16</xdr:col>
      <xdr:colOff>555434</xdr:colOff>
      <xdr:row>30</xdr:row>
      <xdr:rowOff>16616</xdr:rowOff>
    </xdr:to>
    <xdr:sp macro="" textlink="">
      <xdr:nvSpPr>
        <xdr:cNvPr id="26" name="Rectangle: Rounded Corners 25">
          <a:extLst>
            <a:ext uri="{FF2B5EF4-FFF2-40B4-BE49-F238E27FC236}">
              <a16:creationId xmlns:a16="http://schemas.microsoft.com/office/drawing/2014/main" id="{8102A16C-BE7B-4947-85B3-2B84E02C8BEF}"/>
            </a:ext>
          </a:extLst>
        </xdr:cNvPr>
        <xdr:cNvSpPr/>
      </xdr:nvSpPr>
      <xdr:spPr>
        <a:xfrm>
          <a:off x="4804049" y="1947009"/>
          <a:ext cx="5504985" cy="3472880"/>
        </a:xfrm>
        <a:prstGeom prst="roundRect">
          <a:avLst>
            <a:gd name="adj" fmla="val 374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119727</xdr:colOff>
      <xdr:row>10</xdr:row>
      <xdr:rowOff>159565</xdr:rowOff>
    </xdr:from>
    <xdr:to>
      <xdr:col>25</xdr:col>
      <xdr:colOff>387927</xdr:colOff>
      <xdr:row>29</xdr:row>
      <xdr:rowOff>107739</xdr:rowOff>
    </xdr:to>
    <xdr:sp macro="" textlink="">
      <xdr:nvSpPr>
        <xdr:cNvPr id="27" name="Rectangle: Rounded Corners 26">
          <a:extLst>
            <a:ext uri="{FF2B5EF4-FFF2-40B4-BE49-F238E27FC236}">
              <a16:creationId xmlns:a16="http://schemas.microsoft.com/office/drawing/2014/main" id="{63D0DE84-F766-4975-A25F-CFBEEC082247}"/>
            </a:ext>
          </a:extLst>
        </xdr:cNvPr>
        <xdr:cNvSpPr/>
      </xdr:nvSpPr>
      <xdr:spPr>
        <a:xfrm>
          <a:off x="10482927" y="1960656"/>
          <a:ext cx="5145000" cy="3370247"/>
        </a:xfrm>
        <a:prstGeom prst="roundRect">
          <a:avLst>
            <a:gd name="adj" fmla="val 374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36612</xdr:colOff>
      <xdr:row>14</xdr:row>
      <xdr:rowOff>1</xdr:rowOff>
    </xdr:from>
    <xdr:to>
      <xdr:col>4</xdr:col>
      <xdr:colOff>112812</xdr:colOff>
      <xdr:row>21</xdr:row>
      <xdr:rowOff>55405</xdr:rowOff>
    </xdr:to>
    <xdr:sp macro="" textlink="">
      <xdr:nvSpPr>
        <xdr:cNvPr id="28" name="Rectangle: Rounded Corners 27">
          <a:extLst>
            <a:ext uri="{FF2B5EF4-FFF2-40B4-BE49-F238E27FC236}">
              <a16:creationId xmlns:a16="http://schemas.microsoft.com/office/drawing/2014/main" id="{153F51A0-CFAE-4017-9DC1-93DB6A4E1741}"/>
            </a:ext>
          </a:extLst>
        </xdr:cNvPr>
        <xdr:cNvSpPr/>
      </xdr:nvSpPr>
      <xdr:spPr>
        <a:xfrm>
          <a:off x="1255812" y="2521528"/>
          <a:ext cx="1295400" cy="1316168"/>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i="1" u="sng">
              <a:solidFill>
                <a:srgbClr val="1B2A4A"/>
              </a:solidFill>
              <a:effectLst/>
              <a:latin typeface="+mn-lt"/>
              <a:ea typeface="+mn-ea"/>
              <a:cs typeface="+mn-cs"/>
            </a:rPr>
            <a:t>Average of Distance</a:t>
          </a:r>
          <a:endParaRPr lang="en-GB" sz="1400" b="1">
            <a:solidFill>
              <a:srgbClr val="1B2A4A"/>
            </a:solidFill>
            <a:effectLst/>
          </a:endParaRPr>
        </a:p>
      </xdr:txBody>
    </xdr:sp>
    <xdr:clientData/>
  </xdr:twoCellAnchor>
  <xdr:twoCellAnchor>
    <xdr:from>
      <xdr:col>4</xdr:col>
      <xdr:colOff>391756</xdr:colOff>
      <xdr:row>13</xdr:row>
      <xdr:rowOff>166241</xdr:rowOff>
    </xdr:from>
    <xdr:to>
      <xdr:col>6</xdr:col>
      <xdr:colOff>500613</xdr:colOff>
      <xdr:row>21</xdr:row>
      <xdr:rowOff>96968</xdr:rowOff>
    </xdr:to>
    <xdr:sp macro="" textlink="">
      <xdr:nvSpPr>
        <xdr:cNvPr id="29" name="Rectangle: Rounded Corners 28">
          <a:extLst>
            <a:ext uri="{FF2B5EF4-FFF2-40B4-BE49-F238E27FC236}">
              <a16:creationId xmlns:a16="http://schemas.microsoft.com/office/drawing/2014/main" id="{D395CFCA-90B1-454D-A338-57D147E1A66A}"/>
            </a:ext>
          </a:extLst>
        </xdr:cNvPr>
        <xdr:cNvSpPr/>
      </xdr:nvSpPr>
      <xdr:spPr>
        <a:xfrm>
          <a:off x="2830156" y="2507659"/>
          <a:ext cx="1328057" cy="1371600"/>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i="1" u="sng">
              <a:solidFill>
                <a:srgbClr val="1B2A4A"/>
              </a:solidFill>
              <a:effectLst/>
              <a:latin typeface="+mn-lt"/>
              <a:ea typeface="+mn-ea"/>
              <a:cs typeface="+mn-cs"/>
            </a:rPr>
            <a:t>Lowest</a:t>
          </a:r>
          <a:r>
            <a:rPr lang="en-GB" sz="1800" b="1" i="1" u="sng" baseline="0">
              <a:solidFill>
                <a:srgbClr val="1B2A4A"/>
              </a:solidFill>
              <a:effectLst/>
              <a:latin typeface="+mn-lt"/>
              <a:ea typeface="+mn-ea"/>
              <a:cs typeface="+mn-cs"/>
            </a:rPr>
            <a:t> </a:t>
          </a:r>
          <a:r>
            <a:rPr lang="en-GB" sz="1800" b="1" i="1" u="sng">
              <a:solidFill>
                <a:srgbClr val="1B2A4A"/>
              </a:solidFill>
              <a:effectLst/>
              <a:latin typeface="+mn-lt"/>
              <a:ea typeface="+mn-ea"/>
              <a:cs typeface="+mn-cs"/>
            </a:rPr>
            <a:t>  Price</a:t>
          </a:r>
          <a:endParaRPr lang="en-GB" sz="1800" b="1">
            <a:solidFill>
              <a:schemeClr val="tx1"/>
            </a:solidFill>
            <a:effectLst/>
          </a:endParaRPr>
        </a:p>
      </xdr:txBody>
    </xdr:sp>
    <xdr:clientData/>
  </xdr:twoCellAnchor>
  <xdr:twoCellAnchor>
    <xdr:from>
      <xdr:col>3</xdr:col>
      <xdr:colOff>139987</xdr:colOff>
      <xdr:row>22</xdr:row>
      <xdr:rowOff>96968</xdr:rowOff>
    </xdr:from>
    <xdr:to>
      <xdr:col>5</xdr:col>
      <xdr:colOff>318655</xdr:colOff>
      <xdr:row>29</xdr:row>
      <xdr:rowOff>110823</xdr:rowOff>
    </xdr:to>
    <xdr:sp macro="" textlink="">
      <xdr:nvSpPr>
        <xdr:cNvPr id="30" name="Rectangle: Rounded Corners 29">
          <a:extLst>
            <a:ext uri="{FF2B5EF4-FFF2-40B4-BE49-F238E27FC236}">
              <a16:creationId xmlns:a16="http://schemas.microsoft.com/office/drawing/2014/main" id="{C02F595F-70A2-4EDE-8684-91B4F3460980}"/>
            </a:ext>
          </a:extLst>
        </xdr:cNvPr>
        <xdr:cNvSpPr/>
      </xdr:nvSpPr>
      <xdr:spPr>
        <a:xfrm>
          <a:off x="1968787" y="4059368"/>
          <a:ext cx="1397868" cy="1274619"/>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i="1" u="sng">
              <a:solidFill>
                <a:srgbClr val="1B2A4A"/>
              </a:solidFill>
              <a:effectLst/>
            </a:rPr>
            <a:t>Egypt’s direct competitor</a:t>
          </a:r>
        </a:p>
      </xdr:txBody>
    </xdr:sp>
    <xdr:clientData/>
  </xdr:twoCellAnchor>
  <xdr:twoCellAnchor>
    <xdr:from>
      <xdr:col>1</xdr:col>
      <xdr:colOff>265210</xdr:colOff>
      <xdr:row>6</xdr:row>
      <xdr:rowOff>13841</xdr:rowOff>
    </xdr:from>
    <xdr:to>
      <xdr:col>9</xdr:col>
      <xdr:colOff>0</xdr:colOff>
      <xdr:row>9</xdr:row>
      <xdr:rowOff>166241</xdr:rowOff>
    </xdr:to>
    <xdr:sp macro="" textlink="">
      <xdr:nvSpPr>
        <xdr:cNvPr id="31" name="Rectangle: Rounded Corners 30">
          <a:extLst>
            <a:ext uri="{FF2B5EF4-FFF2-40B4-BE49-F238E27FC236}">
              <a16:creationId xmlns:a16="http://schemas.microsoft.com/office/drawing/2014/main" id="{5C61B32F-37CA-4E0A-90FD-77FAA13D81B8}"/>
            </a:ext>
          </a:extLst>
        </xdr:cNvPr>
        <xdr:cNvSpPr/>
      </xdr:nvSpPr>
      <xdr:spPr>
        <a:xfrm>
          <a:off x="874810" y="1094496"/>
          <a:ext cx="4611590" cy="69272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3200" b="1" i="1" u="sng">
              <a:solidFill>
                <a:srgbClr val="385F7C"/>
              </a:solidFill>
              <a:effectLst/>
              <a:latin typeface="+mn-lt"/>
              <a:ea typeface="+mn-ea"/>
              <a:cs typeface="+mn-cs"/>
            </a:rPr>
            <a:t>Global Market Overview</a:t>
          </a:r>
          <a:endParaRPr lang="en-GB" sz="3200" b="1">
            <a:solidFill>
              <a:srgbClr val="385F7C"/>
            </a:solidFill>
            <a:effectLst/>
          </a:endParaRPr>
        </a:p>
      </xdr:txBody>
    </xdr:sp>
    <xdr:clientData/>
  </xdr:twoCellAnchor>
  <xdr:twoCellAnchor>
    <xdr:from>
      <xdr:col>8</xdr:col>
      <xdr:colOff>134729</xdr:colOff>
      <xdr:row>11</xdr:row>
      <xdr:rowOff>73320</xdr:rowOff>
    </xdr:from>
    <xdr:to>
      <xdr:col>13</xdr:col>
      <xdr:colOff>554183</xdr:colOff>
      <xdr:row>13</xdr:row>
      <xdr:rowOff>55417</xdr:rowOff>
    </xdr:to>
    <xdr:sp macro="" textlink="">
      <xdr:nvSpPr>
        <xdr:cNvPr id="35" name="Rectangle: Rounded Corners 34">
          <a:extLst>
            <a:ext uri="{FF2B5EF4-FFF2-40B4-BE49-F238E27FC236}">
              <a16:creationId xmlns:a16="http://schemas.microsoft.com/office/drawing/2014/main" id="{C8611E4E-48FA-441C-86CB-A452F540FDFE}"/>
            </a:ext>
          </a:extLst>
        </xdr:cNvPr>
        <xdr:cNvSpPr/>
      </xdr:nvSpPr>
      <xdr:spPr>
        <a:xfrm>
          <a:off x="5011529" y="2054520"/>
          <a:ext cx="3467454" cy="342315"/>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i="1">
              <a:solidFill>
                <a:schemeClr val="tx1"/>
              </a:solidFill>
            </a:rPr>
            <a:t>Average</a:t>
          </a:r>
          <a:r>
            <a:rPr lang="en-GB" sz="1800" b="1" i="1" baseline="0">
              <a:solidFill>
                <a:schemeClr val="tx1"/>
              </a:solidFill>
            </a:rPr>
            <a:t> Distance By  competitors</a:t>
          </a:r>
          <a:endParaRPr lang="en-GB" sz="1800" b="1" i="1">
            <a:solidFill>
              <a:schemeClr val="tx1"/>
            </a:solidFill>
          </a:endParaRPr>
        </a:p>
      </xdr:txBody>
    </xdr:sp>
    <xdr:clientData/>
  </xdr:twoCellAnchor>
  <xdr:twoCellAnchor>
    <xdr:from>
      <xdr:col>2</xdr:col>
      <xdr:colOff>145468</xdr:colOff>
      <xdr:row>19</xdr:row>
      <xdr:rowOff>23743</xdr:rowOff>
    </xdr:from>
    <xdr:to>
      <xdr:col>3</xdr:col>
      <xdr:colOff>602668</xdr:colOff>
      <xdr:row>20</xdr:row>
      <xdr:rowOff>171196</xdr:rowOff>
    </xdr:to>
    <xdr:sp macro="" textlink="'Phase  Piovt 4'!$J$17">
      <xdr:nvSpPr>
        <xdr:cNvPr id="37" name="TextBox 36">
          <a:extLst>
            <a:ext uri="{FF2B5EF4-FFF2-40B4-BE49-F238E27FC236}">
              <a16:creationId xmlns:a16="http://schemas.microsoft.com/office/drawing/2014/main" id="{5C7A7692-7935-4C82-874D-0C9DF074A058}"/>
            </a:ext>
          </a:extLst>
        </xdr:cNvPr>
        <xdr:cNvSpPr txBox="1"/>
      </xdr:nvSpPr>
      <xdr:spPr>
        <a:xfrm>
          <a:off x="1364668" y="3445816"/>
          <a:ext cx="1066800" cy="327562"/>
        </a:xfrm>
        <a:prstGeom prst="rect">
          <a:avLst/>
        </a:prstGeom>
        <a:solidFill>
          <a:srgbClr val="EEF2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A5C8FF-B2A7-410C-9EEA-7FE959E8950D}" type="TxLink">
            <a:rPr lang="en-US" sz="1800" b="1" i="1" u="none" strike="noStrike">
              <a:ln>
                <a:noFill/>
              </a:ln>
              <a:solidFill>
                <a:srgbClr val="385F7C"/>
              </a:solidFill>
              <a:effectLst>
                <a:innerShdw blurRad="63500" dist="50800" dir="13500000">
                  <a:prstClr val="black">
                    <a:alpha val="50000"/>
                  </a:prstClr>
                </a:innerShdw>
              </a:effectLst>
              <a:latin typeface="Calibri"/>
              <a:ea typeface="Calibri"/>
              <a:cs typeface="Calibri"/>
            </a:rPr>
            <a:pPr algn="ctr"/>
            <a:t>2695.1</a:t>
          </a:fld>
          <a:endParaRPr lang="en-GB" sz="1800" b="1" i="1">
            <a:ln>
              <a:noFill/>
            </a:ln>
            <a:solidFill>
              <a:srgbClr val="385F7C"/>
            </a:solidFill>
            <a:effectLst>
              <a:innerShdw blurRad="63500" dist="50800" dir="13500000">
                <a:prstClr val="black">
                  <a:alpha val="50000"/>
                </a:prstClr>
              </a:innerShdw>
            </a:effectLst>
          </a:endParaRPr>
        </a:p>
      </xdr:txBody>
    </xdr:sp>
    <xdr:clientData/>
  </xdr:twoCellAnchor>
  <xdr:twoCellAnchor>
    <xdr:from>
      <xdr:col>16</xdr:col>
      <xdr:colOff>198844</xdr:colOff>
      <xdr:row>31</xdr:row>
      <xdr:rowOff>42559</xdr:rowOff>
    </xdr:from>
    <xdr:to>
      <xdr:col>25</xdr:col>
      <xdr:colOff>415635</xdr:colOff>
      <xdr:row>49</xdr:row>
      <xdr:rowOff>161178</xdr:rowOff>
    </xdr:to>
    <xdr:sp macro="" textlink="">
      <xdr:nvSpPr>
        <xdr:cNvPr id="38" name="Rectangle: Rounded Corners 37">
          <a:extLst>
            <a:ext uri="{FF2B5EF4-FFF2-40B4-BE49-F238E27FC236}">
              <a16:creationId xmlns:a16="http://schemas.microsoft.com/office/drawing/2014/main" id="{5B56BC15-0A3D-4DAD-9150-A10C6859172A}"/>
            </a:ext>
          </a:extLst>
        </xdr:cNvPr>
        <xdr:cNvSpPr/>
      </xdr:nvSpPr>
      <xdr:spPr>
        <a:xfrm>
          <a:off x="9952444" y="5625941"/>
          <a:ext cx="5703191" cy="3360582"/>
        </a:xfrm>
        <a:prstGeom prst="roundRect">
          <a:avLst>
            <a:gd name="adj" fmla="val 374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504572</xdr:colOff>
      <xdr:row>19</xdr:row>
      <xdr:rowOff>9890</xdr:rowOff>
    </xdr:from>
    <xdr:to>
      <xdr:col>6</xdr:col>
      <xdr:colOff>352172</xdr:colOff>
      <xdr:row>20</xdr:row>
      <xdr:rowOff>157343</xdr:rowOff>
    </xdr:to>
    <xdr:sp macro="" textlink="'Phase  Piovt 4'!C14">
      <xdr:nvSpPr>
        <xdr:cNvPr id="39" name="TextBox 38">
          <a:extLst>
            <a:ext uri="{FF2B5EF4-FFF2-40B4-BE49-F238E27FC236}">
              <a16:creationId xmlns:a16="http://schemas.microsoft.com/office/drawing/2014/main" id="{F322B82D-28C3-487C-8E5B-5F7898CC15B1}"/>
            </a:ext>
          </a:extLst>
        </xdr:cNvPr>
        <xdr:cNvSpPr txBox="1"/>
      </xdr:nvSpPr>
      <xdr:spPr>
        <a:xfrm>
          <a:off x="2942972" y="3431963"/>
          <a:ext cx="1066800" cy="327562"/>
        </a:xfrm>
        <a:prstGeom prst="rect">
          <a:avLst/>
        </a:prstGeom>
        <a:solidFill>
          <a:srgbClr val="EEF2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B69900-7438-4D35-BE78-CA9AE6D37386}" type="TxLink">
            <a:rPr lang="en-US" sz="2000" b="1" i="1" u="none" strike="noStrike">
              <a:ln>
                <a:noFill/>
              </a:ln>
              <a:solidFill>
                <a:srgbClr val="385F7C"/>
              </a:solidFill>
              <a:effectLst>
                <a:innerShdw blurRad="63500" dist="50800" dir="13500000">
                  <a:prstClr val="black">
                    <a:alpha val="50000"/>
                  </a:prstClr>
                </a:innerShdw>
              </a:effectLst>
              <a:latin typeface="Calibri"/>
              <a:ea typeface="Calibri"/>
              <a:cs typeface="Calibri"/>
            </a:rPr>
            <a:pPr algn="ctr"/>
            <a:t>268</a:t>
          </a:fld>
          <a:endParaRPr lang="en-US" sz="3600" b="1" i="1" u="none" strike="noStrike">
            <a:ln>
              <a:noFill/>
            </a:ln>
            <a:solidFill>
              <a:srgbClr val="385F7C"/>
            </a:solidFill>
            <a:effectLst>
              <a:innerShdw blurRad="63500" dist="50800" dir="13500000">
                <a:prstClr val="black">
                  <a:alpha val="50000"/>
                </a:prstClr>
              </a:innerShdw>
            </a:effectLst>
            <a:latin typeface="Calibri"/>
            <a:ea typeface="Calibri"/>
            <a:cs typeface="Calibri"/>
          </a:endParaRPr>
        </a:p>
      </xdr:txBody>
    </xdr:sp>
    <xdr:clientData/>
  </xdr:twoCellAnchor>
  <xdr:twoCellAnchor>
    <xdr:from>
      <xdr:col>3</xdr:col>
      <xdr:colOff>293378</xdr:colOff>
      <xdr:row>27</xdr:row>
      <xdr:rowOff>117754</xdr:rowOff>
    </xdr:from>
    <xdr:to>
      <xdr:col>5</xdr:col>
      <xdr:colOff>140979</xdr:colOff>
      <xdr:row>29</xdr:row>
      <xdr:rowOff>85097</xdr:rowOff>
    </xdr:to>
    <xdr:sp macro="" textlink="'Phase  Piovt 4'!B16">
      <xdr:nvSpPr>
        <xdr:cNvPr id="40" name="TextBox 39">
          <a:extLst>
            <a:ext uri="{FF2B5EF4-FFF2-40B4-BE49-F238E27FC236}">
              <a16:creationId xmlns:a16="http://schemas.microsoft.com/office/drawing/2014/main" id="{5BE347D6-304E-4969-B88F-343EF5543222}"/>
            </a:ext>
          </a:extLst>
        </xdr:cNvPr>
        <xdr:cNvSpPr txBox="1"/>
      </xdr:nvSpPr>
      <xdr:spPr>
        <a:xfrm>
          <a:off x="2122178" y="4980699"/>
          <a:ext cx="1066801" cy="327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4A2B7E-F3B2-4515-9FD0-BC4B717A91FC}" type="TxLink">
            <a:rPr lang="en-US" sz="2000" b="1" i="1" u="none" strike="noStrike">
              <a:ln>
                <a:noFill/>
              </a:ln>
              <a:solidFill>
                <a:srgbClr val="385F7C"/>
              </a:solidFill>
              <a:effectLst>
                <a:innerShdw blurRad="63500" dist="50800" dir="13500000">
                  <a:prstClr val="black">
                    <a:alpha val="50000"/>
                  </a:prstClr>
                </a:innerShdw>
              </a:effectLst>
              <a:latin typeface="Calibri"/>
              <a:ea typeface="Calibri"/>
              <a:cs typeface="Calibri"/>
            </a:rPr>
            <a:pPr algn="ctr"/>
            <a:t>7086</a:t>
          </a:fld>
          <a:endParaRPr lang="en-GB" sz="6600" b="1" i="1" u="none" strike="noStrike">
            <a:ln>
              <a:noFill/>
            </a:ln>
            <a:solidFill>
              <a:srgbClr val="385F7C"/>
            </a:solidFill>
            <a:effectLst>
              <a:innerShdw blurRad="63500" dist="50800" dir="13500000">
                <a:prstClr val="black">
                  <a:alpha val="50000"/>
                </a:prstClr>
              </a:innerShdw>
            </a:effectLst>
            <a:latin typeface="Calibri"/>
            <a:ea typeface="Calibri"/>
            <a:cs typeface="Calibri"/>
          </a:endParaRPr>
        </a:p>
      </xdr:txBody>
    </xdr:sp>
    <xdr:clientData/>
  </xdr:twoCellAnchor>
  <xdr:twoCellAnchor>
    <xdr:from>
      <xdr:col>20</xdr:col>
      <xdr:colOff>609599</xdr:colOff>
      <xdr:row>11</xdr:row>
      <xdr:rowOff>137585</xdr:rowOff>
    </xdr:from>
    <xdr:to>
      <xdr:col>25</xdr:col>
      <xdr:colOff>28401</xdr:colOff>
      <xdr:row>14</xdr:row>
      <xdr:rowOff>41564</xdr:rowOff>
    </xdr:to>
    <xdr:sp macro="" textlink="">
      <xdr:nvSpPr>
        <xdr:cNvPr id="41" name="Rectangle: Rounded Corners 40">
          <a:extLst>
            <a:ext uri="{FF2B5EF4-FFF2-40B4-BE49-F238E27FC236}">
              <a16:creationId xmlns:a16="http://schemas.microsoft.com/office/drawing/2014/main" id="{A19084B9-E4D2-4197-9A15-135676ECDD31}"/>
            </a:ext>
          </a:extLst>
        </xdr:cNvPr>
        <xdr:cNvSpPr/>
      </xdr:nvSpPr>
      <xdr:spPr>
        <a:xfrm rot="10800000" flipV="1">
          <a:off x="12801599" y="2118785"/>
          <a:ext cx="2466802" cy="444306"/>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i="1">
              <a:solidFill>
                <a:schemeClr val="tx1"/>
              </a:solidFill>
            </a:rPr>
            <a:t> Competitors Prices</a:t>
          </a:r>
        </a:p>
      </xdr:txBody>
    </xdr:sp>
    <xdr:clientData/>
  </xdr:twoCellAnchor>
  <xdr:twoCellAnchor>
    <xdr:from>
      <xdr:col>7</xdr:col>
      <xdr:colOff>595435</xdr:colOff>
      <xdr:row>12</xdr:row>
      <xdr:rowOff>62710</xdr:rowOff>
    </xdr:from>
    <xdr:to>
      <xdr:col>16</xdr:col>
      <xdr:colOff>540016</xdr:colOff>
      <xdr:row>31</xdr:row>
      <xdr:rowOff>21143</xdr:rowOff>
    </xdr:to>
    <xdr:graphicFrame macro="">
      <xdr:nvGraphicFramePr>
        <xdr:cNvPr id="6" name="Chart 5">
          <a:extLst>
            <a:ext uri="{FF2B5EF4-FFF2-40B4-BE49-F238E27FC236}">
              <a16:creationId xmlns:a16="http://schemas.microsoft.com/office/drawing/2014/main" id="{6AE926C1-AD0B-4836-83B8-360684D40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558414</xdr:colOff>
      <xdr:row>14</xdr:row>
      <xdr:rowOff>66512</xdr:rowOff>
    </xdr:from>
    <xdr:to>
      <xdr:col>25</xdr:col>
      <xdr:colOff>235527</xdr:colOff>
      <xdr:row>29</xdr:row>
      <xdr:rowOff>80365</xdr:rowOff>
    </xdr:to>
    <xdr:graphicFrame macro="">
      <xdr:nvGraphicFramePr>
        <xdr:cNvPr id="7" name="Chart 6">
          <a:extLst>
            <a:ext uri="{FF2B5EF4-FFF2-40B4-BE49-F238E27FC236}">
              <a16:creationId xmlns:a16="http://schemas.microsoft.com/office/drawing/2014/main" id="{9AC1CE11-9A50-4382-B998-46EE3818D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261685</xdr:colOff>
      <xdr:row>33</xdr:row>
      <xdr:rowOff>138532</xdr:rowOff>
    </xdr:from>
    <xdr:to>
      <xdr:col>25</xdr:col>
      <xdr:colOff>17752</xdr:colOff>
      <xdr:row>49</xdr:row>
      <xdr:rowOff>124816</xdr:rowOff>
    </xdr:to>
    <xdr:graphicFrame macro="">
      <xdr:nvGraphicFramePr>
        <xdr:cNvPr id="9" name="Chart 8">
          <a:extLst>
            <a:ext uri="{FF2B5EF4-FFF2-40B4-BE49-F238E27FC236}">
              <a16:creationId xmlns:a16="http://schemas.microsoft.com/office/drawing/2014/main" id="{E154A905-5413-4F69-8A4A-9D0E2243E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554834</xdr:colOff>
      <xdr:row>10</xdr:row>
      <xdr:rowOff>166244</xdr:rowOff>
    </xdr:from>
    <xdr:to>
      <xdr:col>33</xdr:col>
      <xdr:colOff>595743</xdr:colOff>
      <xdr:row>49</xdr:row>
      <xdr:rowOff>175802</xdr:rowOff>
    </xdr:to>
    <xdr:sp macro="" textlink="">
      <xdr:nvSpPr>
        <xdr:cNvPr id="10" name="Rectangle: Rounded Corners 9">
          <a:extLst>
            <a:ext uri="{FF2B5EF4-FFF2-40B4-BE49-F238E27FC236}">
              <a16:creationId xmlns:a16="http://schemas.microsoft.com/office/drawing/2014/main" id="{EFBCBFF0-AC43-D4F6-B642-6D20CEE460F5}"/>
            </a:ext>
          </a:extLst>
        </xdr:cNvPr>
        <xdr:cNvSpPr/>
      </xdr:nvSpPr>
      <xdr:spPr>
        <a:xfrm rot="5400000">
          <a:off x="14736783" y="3025386"/>
          <a:ext cx="7033812" cy="4917709"/>
        </a:xfrm>
        <a:prstGeom prst="roundRect">
          <a:avLst>
            <a:gd name="adj" fmla="val 374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347284</xdr:colOff>
      <xdr:row>30</xdr:row>
      <xdr:rowOff>170975</xdr:rowOff>
    </xdr:from>
    <xdr:to>
      <xdr:col>15</xdr:col>
      <xdr:colOff>540328</xdr:colOff>
      <xdr:row>49</xdr:row>
      <xdr:rowOff>152387</xdr:rowOff>
    </xdr:to>
    <xdr:sp macro="" textlink="">
      <xdr:nvSpPr>
        <xdr:cNvPr id="15" name="Rectangle: Rounded Corners 14">
          <a:extLst>
            <a:ext uri="{FF2B5EF4-FFF2-40B4-BE49-F238E27FC236}">
              <a16:creationId xmlns:a16="http://schemas.microsoft.com/office/drawing/2014/main" id="{76E3554E-AF55-51EF-3895-3EA6C9D3725D}"/>
            </a:ext>
          </a:extLst>
        </xdr:cNvPr>
        <xdr:cNvSpPr/>
      </xdr:nvSpPr>
      <xdr:spPr>
        <a:xfrm>
          <a:off x="4614484" y="5574248"/>
          <a:ext cx="5069844" cy="3403484"/>
        </a:xfrm>
        <a:prstGeom prst="roundRect">
          <a:avLst>
            <a:gd name="adj" fmla="val 374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551712</xdr:colOff>
      <xdr:row>33</xdr:row>
      <xdr:rowOff>137511</xdr:rowOff>
    </xdr:from>
    <xdr:to>
      <xdr:col>15</xdr:col>
      <xdr:colOff>551712</xdr:colOff>
      <xdr:row>48</xdr:row>
      <xdr:rowOff>145656</xdr:rowOff>
    </xdr:to>
    <xdr:graphicFrame macro="">
      <xdr:nvGraphicFramePr>
        <xdr:cNvPr id="2" name="Chart 1">
          <a:extLst>
            <a:ext uri="{FF2B5EF4-FFF2-40B4-BE49-F238E27FC236}">
              <a16:creationId xmlns:a16="http://schemas.microsoft.com/office/drawing/2014/main" id="{C9770FD2-A38F-4AEC-8E53-2082491B0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471054</xdr:colOff>
      <xdr:row>11</xdr:row>
      <xdr:rowOff>111597</xdr:rowOff>
    </xdr:from>
    <xdr:to>
      <xdr:col>33</xdr:col>
      <xdr:colOff>399509</xdr:colOff>
      <xdr:row>14</xdr:row>
      <xdr:rowOff>27709</xdr:rowOff>
    </xdr:to>
    <xdr:sp macro="" textlink="">
      <xdr:nvSpPr>
        <xdr:cNvPr id="43" name="Rectangle: Rounded Corners 42">
          <a:extLst>
            <a:ext uri="{FF2B5EF4-FFF2-40B4-BE49-F238E27FC236}">
              <a16:creationId xmlns:a16="http://schemas.microsoft.com/office/drawing/2014/main" id="{F3F39333-F5EB-534D-0D62-41BEBAB3CA78}"/>
            </a:ext>
          </a:extLst>
        </xdr:cNvPr>
        <xdr:cNvSpPr/>
      </xdr:nvSpPr>
      <xdr:spPr>
        <a:xfrm rot="10800000" flipV="1">
          <a:off x="16320654" y="2092797"/>
          <a:ext cx="4195655" cy="456439"/>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i="1">
              <a:solidFill>
                <a:schemeClr val="tx1"/>
              </a:solidFill>
            </a:rPr>
            <a:t>The Average</a:t>
          </a:r>
          <a:r>
            <a:rPr lang="en-GB" sz="1800" b="1" i="1" baseline="0">
              <a:solidFill>
                <a:schemeClr val="tx1"/>
              </a:solidFill>
            </a:rPr>
            <a:t> Distance By Target Market</a:t>
          </a:r>
          <a:endParaRPr lang="en-GB" sz="1800" b="1" i="1">
            <a:solidFill>
              <a:schemeClr val="tx1"/>
            </a:solidFill>
          </a:endParaRPr>
        </a:p>
      </xdr:txBody>
    </xdr:sp>
    <xdr:clientData/>
  </xdr:twoCellAnchor>
  <xdr:twoCellAnchor>
    <xdr:from>
      <xdr:col>19</xdr:col>
      <xdr:colOff>332512</xdr:colOff>
      <xdr:row>31</xdr:row>
      <xdr:rowOff>122374</xdr:rowOff>
    </xdr:from>
    <xdr:to>
      <xdr:col>25</xdr:col>
      <xdr:colOff>348712</xdr:colOff>
      <xdr:row>33</xdr:row>
      <xdr:rowOff>152402</xdr:rowOff>
    </xdr:to>
    <xdr:sp macro="" textlink="">
      <xdr:nvSpPr>
        <xdr:cNvPr id="44" name="Rectangle: Rounded Corners 43">
          <a:extLst>
            <a:ext uri="{FF2B5EF4-FFF2-40B4-BE49-F238E27FC236}">
              <a16:creationId xmlns:a16="http://schemas.microsoft.com/office/drawing/2014/main" id="{5DC3EBA9-DA56-C21E-B736-F3A4B76F5BE2}"/>
            </a:ext>
          </a:extLst>
        </xdr:cNvPr>
        <xdr:cNvSpPr/>
      </xdr:nvSpPr>
      <xdr:spPr>
        <a:xfrm rot="10800000" flipV="1">
          <a:off x="11914912" y="5705756"/>
          <a:ext cx="3673800" cy="390246"/>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1">
              <a:solidFill>
                <a:schemeClr val="tx1"/>
              </a:solidFill>
              <a:effectLst/>
              <a:latin typeface="+mn-lt"/>
              <a:ea typeface="+mn-ea"/>
              <a:cs typeface="+mn-cs"/>
            </a:rPr>
            <a:t>Average Total Price By Competitors</a:t>
          </a:r>
          <a:endParaRPr lang="en-GB" sz="1800" b="1" i="1">
            <a:solidFill>
              <a:schemeClr val="tx1"/>
            </a:solidFill>
          </a:endParaRPr>
        </a:p>
      </xdr:txBody>
    </xdr:sp>
    <xdr:clientData/>
  </xdr:twoCellAnchor>
  <xdr:twoCellAnchor>
    <xdr:from>
      <xdr:col>8</xdr:col>
      <xdr:colOff>387927</xdr:colOff>
      <xdr:row>31</xdr:row>
      <xdr:rowOff>71012</xdr:rowOff>
    </xdr:from>
    <xdr:to>
      <xdr:col>15</xdr:col>
      <xdr:colOff>443345</xdr:colOff>
      <xdr:row>34</xdr:row>
      <xdr:rowOff>110823</xdr:rowOff>
    </xdr:to>
    <xdr:sp macro="" textlink="">
      <xdr:nvSpPr>
        <xdr:cNvPr id="46" name="Rectangle: Rounded Corners 45">
          <a:extLst>
            <a:ext uri="{FF2B5EF4-FFF2-40B4-BE49-F238E27FC236}">
              <a16:creationId xmlns:a16="http://schemas.microsoft.com/office/drawing/2014/main" id="{2413FF61-9F3C-F7B9-2596-040E6FF5441A}"/>
            </a:ext>
          </a:extLst>
        </xdr:cNvPr>
        <xdr:cNvSpPr/>
      </xdr:nvSpPr>
      <xdr:spPr>
        <a:xfrm rot="10800000" flipV="1">
          <a:off x="5264727" y="5654394"/>
          <a:ext cx="4322618" cy="580138"/>
        </a:xfrm>
        <a:prstGeom prst="roundRect">
          <a:avLst>
            <a:gd name="adj" fmla="val 8451"/>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i="1">
              <a:solidFill>
                <a:schemeClr val="tx1"/>
              </a:solidFill>
            </a:rPr>
            <a:t>Average</a:t>
          </a:r>
          <a:r>
            <a:rPr lang="en-GB" sz="1800" b="1" i="1" baseline="0">
              <a:solidFill>
                <a:schemeClr val="tx1"/>
              </a:solidFill>
            </a:rPr>
            <a:t> Growth Value By Target Market</a:t>
          </a:r>
          <a:endParaRPr lang="en-GB" sz="1800" b="1" i="1">
            <a:solidFill>
              <a:schemeClr val="tx1"/>
            </a:solidFill>
          </a:endParaRPr>
        </a:p>
      </xdr:txBody>
    </xdr:sp>
    <xdr:clientData/>
  </xdr:twoCellAnchor>
  <xdr:twoCellAnchor>
    <xdr:from>
      <xdr:col>0</xdr:col>
      <xdr:colOff>498764</xdr:colOff>
      <xdr:row>31</xdr:row>
      <xdr:rowOff>27697</xdr:rowOff>
    </xdr:from>
    <xdr:to>
      <xdr:col>7</xdr:col>
      <xdr:colOff>207818</xdr:colOff>
      <xdr:row>49</xdr:row>
      <xdr:rowOff>138535</xdr:rowOff>
    </xdr:to>
    <xdr:sp macro="" textlink="">
      <xdr:nvSpPr>
        <xdr:cNvPr id="13" name="Rectangle: Rounded Corners 12">
          <a:extLst>
            <a:ext uri="{FF2B5EF4-FFF2-40B4-BE49-F238E27FC236}">
              <a16:creationId xmlns:a16="http://schemas.microsoft.com/office/drawing/2014/main" id="{D5B31877-52B1-F426-65BB-A44097D1D827}"/>
            </a:ext>
          </a:extLst>
        </xdr:cNvPr>
        <xdr:cNvSpPr/>
      </xdr:nvSpPr>
      <xdr:spPr>
        <a:xfrm>
          <a:off x="498764" y="5611079"/>
          <a:ext cx="3976254" cy="3352801"/>
        </a:xfrm>
        <a:prstGeom prst="roundRect">
          <a:avLst>
            <a:gd name="adj" fmla="val 374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132147</xdr:colOff>
      <xdr:row>41</xdr:row>
      <xdr:rowOff>26401</xdr:rowOff>
    </xdr:from>
    <xdr:to>
      <xdr:col>5</xdr:col>
      <xdr:colOff>132147</xdr:colOff>
      <xdr:row>48</xdr:row>
      <xdr:rowOff>30558</xdr:rowOff>
    </xdr:to>
    <mc:AlternateContent xmlns:mc="http://schemas.openxmlformats.org/markup-compatibility/2006" xmlns:a14="http://schemas.microsoft.com/office/drawing/2010/main">
      <mc:Choice Requires="a14">
        <xdr:graphicFrame macro="">
          <xdr:nvGraphicFramePr>
            <xdr:cNvPr id="3" name="Perirtizing 1">
              <a:extLst>
                <a:ext uri="{FF2B5EF4-FFF2-40B4-BE49-F238E27FC236}">
                  <a16:creationId xmlns:a16="http://schemas.microsoft.com/office/drawing/2014/main" id="{66A73035-DBA4-4CE7-806F-B63868B0AF25}"/>
                </a:ext>
              </a:extLst>
            </xdr:cNvPr>
            <xdr:cNvGraphicFramePr/>
          </xdr:nvGraphicFramePr>
          <xdr:xfrm>
            <a:off x="0" y="0"/>
            <a:ext cx="0" cy="0"/>
          </xdr:xfrm>
          <a:graphic>
            <a:graphicData uri="http://schemas.microsoft.com/office/drawing/2010/slicer">
              <sle:slicer xmlns:sle="http://schemas.microsoft.com/office/drawing/2010/slicer" name="Perirtizing 1"/>
            </a:graphicData>
          </a:graphic>
        </xdr:graphicFrame>
      </mc:Choice>
      <mc:Fallback xmlns="">
        <xdr:sp macro="" textlink="">
          <xdr:nvSpPr>
            <xdr:cNvPr id="0" name=""/>
            <xdr:cNvSpPr>
              <a:spLocks noTextEdit="1"/>
            </xdr:cNvSpPr>
          </xdr:nvSpPr>
          <xdr:spPr>
            <a:xfrm>
              <a:off x="1351347" y="7410874"/>
              <a:ext cx="1828800" cy="12649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575492</xdr:colOff>
      <xdr:row>32</xdr:row>
      <xdr:rowOff>158151</xdr:rowOff>
    </xdr:from>
    <xdr:to>
      <xdr:col>6</xdr:col>
      <xdr:colOff>589472</xdr:colOff>
      <xdr:row>39</xdr:row>
      <xdr:rowOff>86261</xdr:rowOff>
    </xdr:to>
    <mc:AlternateContent xmlns:mc="http://schemas.openxmlformats.org/markup-compatibility/2006" xmlns:a14="http://schemas.microsoft.com/office/drawing/2010/main">
      <mc:Choice Requires="a14">
        <xdr:graphicFrame macro="">
          <xdr:nvGraphicFramePr>
            <xdr:cNvPr id="4" name="Trade Agreements  1">
              <a:extLst>
                <a:ext uri="{FF2B5EF4-FFF2-40B4-BE49-F238E27FC236}">
                  <a16:creationId xmlns:a16="http://schemas.microsoft.com/office/drawing/2014/main" id="{0CF1EE17-9AF5-46DD-9B81-2A0DBC61BA0C}"/>
                </a:ext>
              </a:extLst>
            </xdr:cNvPr>
            <xdr:cNvGraphicFramePr/>
          </xdr:nvGraphicFramePr>
          <xdr:xfrm>
            <a:off x="0" y="0"/>
            <a:ext cx="0" cy="0"/>
          </xdr:xfrm>
          <a:graphic>
            <a:graphicData uri="http://schemas.microsoft.com/office/drawing/2010/slicer">
              <sle:slicer xmlns:sle="http://schemas.microsoft.com/office/drawing/2010/slicer" name="Trade Agreements  1"/>
            </a:graphicData>
          </a:graphic>
        </xdr:graphicFrame>
      </mc:Choice>
      <mc:Fallback xmlns="">
        <xdr:sp macro="" textlink="">
          <xdr:nvSpPr>
            <xdr:cNvPr id="0" name=""/>
            <xdr:cNvSpPr>
              <a:spLocks noTextEdit="1"/>
            </xdr:cNvSpPr>
          </xdr:nvSpPr>
          <xdr:spPr>
            <a:xfrm>
              <a:off x="2387039" y="6139132"/>
              <a:ext cx="1825527" cy="1236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533928</xdr:colOff>
      <xdr:row>32</xdr:row>
      <xdr:rowOff>151093</xdr:rowOff>
    </xdr:from>
    <xdr:to>
      <xdr:col>3</xdr:col>
      <xdr:colOff>363178</xdr:colOff>
      <xdr:row>39</xdr:row>
      <xdr:rowOff>76249</xdr:rowOff>
    </xdr:to>
    <mc:AlternateContent xmlns:mc="http://schemas.openxmlformats.org/markup-compatibility/2006" xmlns:a14="http://schemas.microsoft.com/office/drawing/2010/main">
      <mc:Choice Requires="a14">
        <xdr:graphicFrame macro="">
          <xdr:nvGraphicFramePr>
            <xdr:cNvPr id="8" name="Price Category  1">
              <a:extLst>
                <a:ext uri="{FF2B5EF4-FFF2-40B4-BE49-F238E27FC236}">
                  <a16:creationId xmlns:a16="http://schemas.microsoft.com/office/drawing/2014/main" id="{391F5720-7F3E-4353-A8A7-864EFA7ACFF3}"/>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mlns="">
        <xdr:sp macro="" textlink="">
          <xdr:nvSpPr>
            <xdr:cNvPr id="0" name=""/>
            <xdr:cNvSpPr>
              <a:spLocks noTextEdit="1"/>
            </xdr:cNvSpPr>
          </xdr:nvSpPr>
          <xdr:spPr>
            <a:xfrm>
              <a:off x="533928" y="5914584"/>
              <a:ext cx="1658050" cy="11859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198844</xdr:colOff>
      <xdr:row>32</xdr:row>
      <xdr:rowOff>138532</xdr:rowOff>
    </xdr:from>
    <xdr:to>
      <xdr:col>25</xdr:col>
      <xdr:colOff>360217</xdr:colOff>
      <xdr:row>49</xdr:row>
      <xdr:rowOff>124677</xdr:rowOff>
    </xdr:to>
    <xdr:graphicFrame macro="">
      <xdr:nvGraphicFramePr>
        <xdr:cNvPr id="12" name="Chart 11">
          <a:extLst>
            <a:ext uri="{FF2B5EF4-FFF2-40B4-BE49-F238E27FC236}">
              <a16:creationId xmlns:a16="http://schemas.microsoft.com/office/drawing/2014/main" id="{675381C8-D9CF-4A2C-B425-23BC87EE1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14509</xdr:colOff>
      <xdr:row>17</xdr:row>
      <xdr:rowOff>69269</xdr:rowOff>
    </xdr:from>
    <xdr:to>
      <xdr:col>33</xdr:col>
      <xdr:colOff>568039</xdr:colOff>
      <xdr:row>49</xdr:row>
      <xdr:rowOff>110823</xdr:rowOff>
    </xdr:to>
    <xdr:graphicFrame macro="">
      <xdr:nvGraphicFramePr>
        <xdr:cNvPr id="14" name="Chart 13">
          <a:extLst>
            <a:ext uri="{FF2B5EF4-FFF2-40B4-BE49-F238E27FC236}">
              <a16:creationId xmlns:a16="http://schemas.microsoft.com/office/drawing/2014/main" id="{559779C5-ECF1-4F8C-ADB3-9CFDF2ACE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any mohamed" refreshedDate="46200.93030104167" createdVersion="8" refreshedVersion="8" minRefreshableVersion="3" recordCount="12" xr:uid="{CE66CE46-B52D-499D-A3B5-2AAB2A64AB9C}">
  <cacheSource type="worksheet">
    <worksheetSource name="Table7"/>
  </cacheSource>
  <cacheFields count="8">
    <cacheField name="Compitatores" numFmtId="0">
      <sharedItems count="12">
        <s v="Belgium"/>
        <s v="India"/>
        <s v="Italy"/>
        <s v="China"/>
        <s v="Türkiye"/>
        <s v="Korea, Republic of"/>
        <s v="Netherlands"/>
        <s v="South Africa"/>
        <s v="Israel"/>
        <s v="Spain"/>
        <s v="Germany"/>
        <s v="Egypt"/>
      </sharedItems>
    </cacheField>
    <cacheField name="Distance" numFmtId="0">
      <sharedItems containsSemiMixedTypes="0" containsString="0" containsNumber="1" containsInteger="1" minValue="585" maxValue="9298"/>
    </cacheField>
    <cacheField name="Price" numFmtId="0">
      <sharedItems containsSemiMixedTypes="0" containsString="0" containsNumber="1" containsInteger="1" minValue="268" maxValue="1686"/>
    </cacheField>
    <cacheField name="Tariff" numFmtId="0">
      <sharedItems containsSemiMixedTypes="0" containsString="0" containsNumber="1" minValue="0" maxValue="5.9"/>
    </cacheField>
    <cacheField name="Total Price " numFmtId="0">
      <sharedItems containsSemiMixedTypes="0" containsString="0" containsNumber="1" minValue="272.82400000000001" maxValue="1738.2659999999998"/>
    </cacheField>
    <cacheField name="Tariff Category" numFmtId="0">
      <sharedItems/>
    </cacheField>
    <cacheField name="Price Category " numFmtId="0">
      <sharedItems count="3">
        <s v="Low"/>
        <s v="High"/>
        <s v="Moderate"/>
      </sharedItems>
    </cacheField>
    <cacheField name="Trade Agreements " numFmtId="0">
      <sharedItems count="2">
        <s v="Yes"/>
        <s v="No"/>
      </sharedItems>
    </cacheField>
  </cacheFields>
  <extLst>
    <ext xmlns:x14="http://schemas.microsoft.com/office/spreadsheetml/2009/9/main" uri="{725AE2AE-9491-48be-B2B4-4EB974FC3084}">
      <x14:pivotCacheDefinition pivotCacheId="1438061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any mohamed" refreshedDate="46200.930301388886" createdVersion="8" refreshedVersion="8" minRefreshableVersion="3" recordCount="170" xr:uid="{FB086D30-2F1D-43A6-917C-2B7C416B0C2B}">
  <cacheSource type="worksheet">
    <worksheetSource name="Table1"/>
  </cacheSource>
  <cacheFields count="15">
    <cacheField name="Importers" numFmtId="0">
      <sharedItems count="170">
        <s v="Germany"/>
        <s v="United States of America"/>
        <s v="Italy"/>
        <s v="France"/>
        <s v="Israel"/>
        <s v="Viet Nam"/>
        <s v="Taipei, Chinese"/>
        <s v="United Kingdom"/>
        <s v="Belgium"/>
        <s v="Austria"/>
        <s v="Netherlands"/>
        <s v="Ireland"/>
        <s v="Mexico"/>
        <s v="Indonesia"/>
        <s v="Portugal"/>
        <s v="Singapore"/>
        <s v="Chile"/>
        <s v="Spain"/>
        <s v="Czech Republic"/>
        <s v="Peru"/>
        <s v="Argentina"/>
        <s v="India"/>
        <s v="China"/>
        <s v="Sweden"/>
        <s v="Switzerland"/>
        <s v="Türkiye"/>
        <s v="Malaysia"/>
        <s v="Colombia"/>
        <s v="Canada"/>
        <s v="Poland"/>
        <s v="Japan"/>
        <s v="Ecuador"/>
        <s v="Russian Federation"/>
        <s v="Philippines"/>
        <s v="Australia"/>
        <s v="Jordan"/>
        <s v="Slovakia"/>
        <s v="Estonia"/>
        <s v="Hungary"/>
        <s v="Norway"/>
        <s v="Uzbekistan"/>
        <s v="South Africa"/>
        <s v="Kazakhstan"/>
        <s v="Pakistan"/>
        <s v="Nigeria"/>
        <s v="Ghana"/>
        <s v="Guatemala"/>
        <s v="Finland"/>
        <s v="Egypt"/>
        <s v="Tanzania, United Republic of"/>
        <s v="Lao People's Democratic Republic"/>
        <s v="United Arab Emirates"/>
        <s v="Turkmenistan"/>
        <s v="Ukraine"/>
        <s v="Cambodia"/>
        <s v="Guinea"/>
        <s v="Denmark"/>
        <s v="Saudi Arabia"/>
        <s v="El Salvador"/>
        <s v="New Zealand"/>
        <s v="Serbia"/>
        <s v="Thailand"/>
        <s v="Congo, Democratic Republic of the"/>
        <s v="Zimbabwe"/>
        <s v="Greece"/>
        <s v="Romania"/>
        <s v="Papua New Guinea"/>
        <s v="Morocco"/>
        <s v="Algeria"/>
        <s v="Kenya"/>
        <s v="Belarus"/>
        <s v="Korea, Republic of"/>
        <s v="Burkina Faso"/>
        <s v="Slovenia"/>
        <s v="Dominican Republic"/>
        <s v="Tunisia"/>
        <s v="Costa Rica"/>
        <s v="Paraguay"/>
        <s v="Iran, Islamic Republic of"/>
        <s v="Sri Lanka"/>
        <s v="Panama"/>
        <s v="Azerbaijan"/>
        <s v="Uruguay"/>
        <s v="Bahrain"/>
        <s v="Senegal"/>
        <s v="Lithuania"/>
        <s v="Brazil"/>
        <s v="Mauritius"/>
        <s v="Bulgaria"/>
        <s v="Bolivia, Plurinational State of"/>
        <s v="Nicaragua"/>
        <s v="Croatia"/>
        <s v="Iraq"/>
        <s v="Kyrgyzstan"/>
        <s v="Mali"/>
        <s v="Namibia"/>
        <s v="Côte d'Ivoire"/>
        <s v="Hong Kong, China"/>
        <s v="Uganda"/>
        <s v="Kuwait"/>
        <s v="Eswatini"/>
        <s v="Libya, State of"/>
        <s v="Angola"/>
        <s v="Nepal"/>
        <s v="Oman"/>
        <s v="Latvia"/>
        <s v="Myanmar"/>
        <s v="Qatar"/>
        <s v="Venezuela, Bolivarian Republic of"/>
        <s v="Honduras"/>
        <s v="Moldova, Republic of"/>
        <s v="Georgia"/>
        <s v="Jamaica"/>
        <s v="Bangladesh"/>
        <s v="Madagascar"/>
        <s v="Iceland"/>
        <s v="Bosnia and Herzegovina"/>
        <s v="Armenia"/>
        <s v="Lebanon"/>
        <s v="Cyprus"/>
        <s v="Trinidad and Tobago"/>
        <s v="Malawi"/>
        <s v="Barbados"/>
        <s v="Afghanistan"/>
        <s v="Luxembourg"/>
        <s v="Macedonia, North"/>
        <s v="Montenegro"/>
        <s v="Mongolia"/>
        <s v="Fiji"/>
        <s v="Zambia"/>
        <s v="Ethiopia"/>
        <s v="Tajikistan"/>
        <s v="Mozambique"/>
        <s v="Albania"/>
        <s v="Rwanda"/>
        <s v="Djibouti"/>
        <s v="Congo"/>
        <s v="Cuba"/>
        <s v="Benin"/>
        <s v="Guyana"/>
        <s v="Botswana"/>
        <s v="Belize"/>
        <s v="Aruba"/>
        <s v="Malta"/>
        <s v="Syrian Arab Republic"/>
        <s v="Bahamas"/>
        <s v="Lesotho"/>
        <s v="Burundi"/>
        <s v="Bermuda"/>
        <s v="Sudan"/>
        <s v="Somalia"/>
        <s v="Suriname"/>
        <s v="French Polynesia"/>
        <s v="Korea, Democratic People's Republic of"/>
        <s v="Seychelles"/>
        <s v="Bhutan"/>
        <s v="Antigua and Barbuda"/>
        <s v="Gabon"/>
        <s v="Grenada"/>
        <s v="Maldives"/>
        <s v="Cabo Verde"/>
        <s v="Haiti"/>
        <s v="Equatorial Guinea"/>
        <s v="Cameroon"/>
        <s v="Andorra"/>
        <s v="Brunei Darussalam"/>
        <s v="Mauritania"/>
        <s v="New Caledonia"/>
        <s v="Curaçao"/>
        <s v="Sao Tome and Principe"/>
      </sharedItems>
    </cacheField>
    <cacheField name="Region" numFmtId="0">
      <sharedItems count="9">
        <s v="Europe"/>
        <s v="North America"/>
        <s v="Middle East"/>
        <s v="Southeast Asia"/>
        <s v="East Asia"/>
        <s v="South America"/>
        <s v="South Asia"/>
        <s v="Oceania"/>
        <s v="Africa"/>
      </sharedItems>
    </cacheField>
    <cacheField name="Value imported in 2024 (USD thousand)" numFmtId="0">
      <sharedItems containsSemiMixedTypes="0" containsString="0" containsNumber="1" containsInteger="1" minValue="5" maxValue="91361"/>
    </cacheField>
    <cacheField name="Trade balance in 2024 (USD thousand)" numFmtId="0">
      <sharedItems containsSemiMixedTypes="0" containsString="0" containsNumber="1" containsInteger="1" minValue="-50762" maxValue="108092"/>
    </cacheField>
    <cacheField name="Quantity imported in 2024" numFmtId="0">
      <sharedItems containsSemiMixedTypes="0" containsString="0" containsNumber="1" containsInteger="1" minValue="1" maxValue="341423"/>
    </cacheField>
    <cacheField name="Unit value (USD/unit)" numFmtId="0">
      <sharedItems containsSemiMixedTypes="0" containsString="0" containsNumber="1" containsInteger="1" minValue="128" maxValue="13000"/>
    </cacheField>
    <cacheField name="Annual growth in value between 2020-2024 (%)" numFmtId="0">
      <sharedItems containsSemiMixedTypes="0" containsString="0" containsNumber="1" containsInteger="1" minValue="-45" maxValue="156"/>
    </cacheField>
    <cacheField name="Annual growth in quantity between 2020-2024 (%)" numFmtId="0">
      <sharedItems containsSemiMixedTypes="0" containsString="0" containsNumber="1" containsInteger="1" minValue="-47" maxValue="329"/>
    </cacheField>
    <cacheField name="Annual growth in value between 2023-2024 (%)" numFmtId="0">
      <sharedItems containsSemiMixedTypes="0" containsString="0" containsNumber="1" minValue="-90" maxValue="1491"/>
    </cacheField>
    <cacheField name="Share in world imports (%)" numFmtId="0">
      <sharedItems containsSemiMixedTypes="0" containsString="0" containsNumber="1" minValue="0" maxValue="9"/>
    </cacheField>
    <cacheField name="Average distance of supplying countries (km)" numFmtId="0">
      <sharedItems containsSemiMixedTypes="0" containsString="0" containsNumber="1" containsInteger="1" minValue="232" maxValue="15959"/>
    </cacheField>
    <cacheField name="Concentration of supplying countries" numFmtId="0">
      <sharedItems containsSemiMixedTypes="0" containsString="0" containsNumber="1" minValue="0.12" maxValue="1"/>
    </cacheField>
    <cacheField name="Average tariff (estimated) applied by the country (%)" numFmtId="0">
      <sharedItems containsSemiMixedTypes="0" containsString="0" containsNumber="1" minValue="0" maxValue="39.700000000000003"/>
    </cacheField>
    <cacheField name="Region2" numFmtId="0">
      <sharedItems/>
    </cacheField>
    <cacheField name="Concerterntion of supplier" numFmtId="0">
      <sharedItems count="2">
        <s v="Not Manoply"/>
        <s v="Manoply"/>
      </sharedItems>
    </cacheField>
  </cacheFields>
  <extLst>
    <ext xmlns:x14="http://schemas.microsoft.com/office/spreadsheetml/2009/9/main" uri="{725AE2AE-9491-48be-B2B4-4EB974FC3084}">
      <x14:pivotCacheDefinition pivotCacheId="106163050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any mohamed" refreshedDate="46200.930301851855" createdVersion="8" refreshedVersion="8" minRefreshableVersion="3" recordCount="15" xr:uid="{084B9440-AF49-40D6-943F-892302F30D89}">
  <cacheSource type="worksheet">
    <worksheetSource name="Table8"/>
  </cacheSource>
  <cacheFields count="11">
    <cacheField name="Target Market" numFmtId="0">
      <sharedItems count="15">
        <s v="Israel"/>
        <s v="Türkiye"/>
        <s v="Jordan"/>
        <s v="South Africa"/>
        <s v="Nigeria"/>
        <s v="United Arab Emirates"/>
        <s v="Congo, Democratic Republic of the"/>
        <s v="Zimbabwe"/>
        <s v="Morocco"/>
        <s v="Algeria"/>
        <s v="Kenya"/>
        <s v="Iran, Islamic Republic of"/>
        <s v="Azerbaijan"/>
        <s v="Uganda"/>
        <s v="Madagascar"/>
      </sharedItems>
    </cacheField>
    <cacheField name="Market Size" numFmtId="0">
      <sharedItems containsSemiMixedTypes="0" containsString="0" containsNumber="1" containsInteger="1" minValue="228" maxValue="38792"/>
    </cacheField>
    <cacheField name="Market size score" numFmtId="1">
      <sharedItems containsSemiMixedTypes="0" containsString="0" containsNumber="1" minValue="1" maxValue="10"/>
    </cacheField>
    <cacheField name="Growth" numFmtId="0">
      <sharedItems containsSemiMixedTypes="0" containsString="0" containsNumber="1" containsInteger="1" minValue="-4" maxValue="34"/>
    </cacheField>
    <cacheField name="Growth score" numFmtId="0">
      <sharedItems containsSemiMixedTypes="0" containsString="0" containsNumber="1" containsInteger="1" minValue="1" maxValue="10"/>
    </cacheField>
    <cacheField name="Logistics" numFmtId="0">
      <sharedItems containsSemiMixedTypes="0" containsString="0" containsNumber="1" containsInteger="1" minValue="330" maxValue="12000"/>
    </cacheField>
    <cacheField name="Logistics score" numFmtId="1">
      <sharedItems containsSemiMixedTypes="0" containsString="0" containsNumber="1" minValue="1" maxValue="10"/>
    </cacheField>
    <cacheField name="Tariffs" numFmtId="0">
      <sharedItems containsSemiMixedTypes="0" containsString="0" containsNumber="1" minValue="0" maxValue="15"/>
    </cacheField>
    <cacheField name="Tariff score" numFmtId="0">
      <sharedItems containsSemiMixedTypes="0" containsString="0" containsNumber="1" containsInteger="1" minValue="4" maxValue="10"/>
    </cacheField>
    <cacheField name="Total Score" numFmtId="1">
      <sharedItems containsSemiMixedTypes="0" containsString="0" containsNumber="1" minValue="5.3440874035989721" maxValue="8.989203084832905"/>
    </cacheField>
    <cacheField name="Perirtizing" numFmtId="0">
      <sharedItems count="3">
        <s v="Priority"/>
        <s v="Low-Interest"/>
        <s v="Long-term Opportunity"/>
      </sharedItems>
    </cacheField>
  </cacheFields>
  <extLst>
    <ext xmlns:x14="http://schemas.microsoft.com/office/spreadsheetml/2009/9/main" uri="{725AE2AE-9491-48be-B2B4-4EB974FC3084}">
      <x14:pivotCacheDefinition pivotCacheId="1272072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863"/>
    <n v="587"/>
    <n v="1.8"/>
    <n v="597.56600000000003"/>
    <s v="Moderate"/>
    <x v="0"/>
    <x v="0"/>
  </r>
  <r>
    <x v="1"/>
    <n v="1616"/>
    <n v="347"/>
    <n v="5.9"/>
    <n v="367.47299999999996"/>
    <s v="High"/>
    <x v="0"/>
    <x v="1"/>
  </r>
  <r>
    <x v="2"/>
    <n v="825"/>
    <n v="520"/>
    <n v="1.8"/>
    <n v="529.36"/>
    <s v="Moderate"/>
    <x v="0"/>
    <x v="0"/>
  </r>
  <r>
    <x v="3"/>
    <n v="2454"/>
    <n v="897"/>
    <n v="5.9"/>
    <n v="949.923"/>
    <s v="High"/>
    <x v="1"/>
    <x v="1"/>
  </r>
  <r>
    <x v="4"/>
    <n v="2489"/>
    <n v="537"/>
    <n v="2.7"/>
    <n v="551.49899999999991"/>
    <s v="High"/>
    <x v="0"/>
    <x v="1"/>
  </r>
  <r>
    <x v="5"/>
    <n v="6019"/>
    <n v="1686"/>
    <n v="3.1"/>
    <n v="1738.2659999999998"/>
    <s v="High"/>
    <x v="1"/>
    <x v="1"/>
  </r>
  <r>
    <x v="6"/>
    <n v="585"/>
    <n v="572"/>
    <n v="1.8"/>
    <n v="582.29600000000005"/>
    <s v="Moderate"/>
    <x v="0"/>
    <x v="0"/>
  </r>
  <r>
    <x v="7"/>
    <n v="9298"/>
    <n v="544"/>
    <n v="4.0999999999999996"/>
    <n v="566.30399999999997"/>
    <s v="High"/>
    <x v="0"/>
    <x v="1"/>
  </r>
  <r>
    <x v="8"/>
    <n v="3515"/>
    <n v="618"/>
    <n v="1.8"/>
    <n v="629.12400000000002"/>
    <s v="Moderate"/>
    <x v="2"/>
    <x v="0"/>
  </r>
  <r>
    <x v="9"/>
    <n v="1241"/>
    <n v="510"/>
    <n v="1.8"/>
    <n v="519.18000000000006"/>
    <s v="Moderate"/>
    <x v="0"/>
    <x v="0"/>
  </r>
  <r>
    <x v="10"/>
    <n v="660"/>
    <n v="268"/>
    <n v="1.8"/>
    <n v="272.82400000000001"/>
    <s v="Moderate"/>
    <x v="0"/>
    <x v="0"/>
  </r>
  <r>
    <x v="11"/>
    <n v="2776"/>
    <n v="610"/>
    <n v="0"/>
    <n v="610"/>
    <s v="Low"/>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x v="0"/>
    <x v="0"/>
    <n v="91361"/>
    <n v="-25985"/>
    <n v="341423"/>
    <n v="268"/>
    <n v="8"/>
    <n v="16"/>
    <n v="-9"/>
    <n v="9"/>
    <n v="660"/>
    <n v="0.26"/>
    <n v="1.8"/>
    <s v="Europe"/>
    <x v="0"/>
  </r>
  <r>
    <x v="1"/>
    <x v="1"/>
    <n v="54248"/>
    <n v="-13806"/>
    <n v="105800"/>
    <n v="513"/>
    <n v="5"/>
    <n v="3"/>
    <n v="28"/>
    <n v="5.3"/>
    <n v="2918"/>
    <n v="0.64"/>
    <n v="1.8"/>
    <s v="North America"/>
    <x v="1"/>
  </r>
  <r>
    <x v="2"/>
    <x v="0"/>
    <n v="50769"/>
    <n v="-50762"/>
    <n v="97632"/>
    <n v="520"/>
    <n v="6"/>
    <n v="4"/>
    <n v="2"/>
    <n v="5"/>
    <n v="825"/>
    <n v="0.19"/>
    <n v="1.8"/>
    <s v="Europe"/>
    <x v="0"/>
  </r>
  <r>
    <x v="3"/>
    <x v="0"/>
    <n v="41958"/>
    <n v="-2345"/>
    <n v="62054"/>
    <n v="676"/>
    <n v="8"/>
    <n v="0"/>
    <n v="3"/>
    <n v="4.0999999999999996"/>
    <n v="689"/>
    <n v="0.25"/>
    <n v="1.8"/>
    <s v="Europe"/>
    <x v="0"/>
  </r>
  <r>
    <x v="4"/>
    <x v="2"/>
    <n v="38792"/>
    <n v="-33359"/>
    <n v="62769"/>
    <n v="618"/>
    <n v="13"/>
    <n v="4"/>
    <n v="10"/>
    <n v="3.8"/>
    <n v="3515"/>
    <n v="0.46"/>
    <n v="1.8"/>
    <s v="Middle East"/>
    <x v="0"/>
  </r>
  <r>
    <x v="5"/>
    <x v="3"/>
    <n v="34586"/>
    <n v="-33906"/>
    <n v="55396"/>
    <n v="624"/>
    <n v="9"/>
    <n v="1"/>
    <n v="-9"/>
    <n v="3.4"/>
    <n v="1916"/>
    <n v="0.31"/>
    <n v="2.1"/>
    <s v="Southeast Asia"/>
    <x v="0"/>
  </r>
  <r>
    <x v="6"/>
    <x v="4"/>
    <n v="33727"/>
    <n v="-27402"/>
    <n v="52012"/>
    <n v="648"/>
    <n v="-7"/>
    <n v="-12"/>
    <n v="-15"/>
    <n v="3.3"/>
    <n v="1880"/>
    <n v="0.42"/>
    <n v="4.0999999999999996"/>
    <s v="East Asia"/>
    <x v="0"/>
  </r>
  <r>
    <x v="7"/>
    <x v="0"/>
    <n v="33184"/>
    <n v="-29494"/>
    <n v="52702"/>
    <n v="630"/>
    <n v="43"/>
    <n v="44"/>
    <n v="19"/>
    <n v="3.3"/>
    <n v="789"/>
    <n v="0.37"/>
    <n v="1.1000000000000001"/>
    <s v="Europe"/>
    <x v="0"/>
  </r>
  <r>
    <x v="8"/>
    <x v="0"/>
    <n v="27445"/>
    <n v="108092"/>
    <n v="46793"/>
    <n v="587"/>
    <n v="11"/>
    <n v="15"/>
    <n v="-11"/>
    <n v="2.7"/>
    <n v="863"/>
    <n v="0.28000000000000003"/>
    <n v="1.8"/>
    <s v="Europe"/>
    <x v="0"/>
  </r>
  <r>
    <x v="9"/>
    <x v="0"/>
    <n v="26701"/>
    <n v="4369"/>
    <n v="48547"/>
    <n v="550"/>
    <n v="13"/>
    <n v="4"/>
    <n v="4"/>
    <n v="2.6"/>
    <n v="655"/>
    <n v="0.39"/>
    <n v="1.8"/>
    <s v="Europe"/>
    <x v="0"/>
  </r>
  <r>
    <x v="10"/>
    <x v="0"/>
    <n v="26482"/>
    <n v="69914"/>
    <n v="46337"/>
    <n v="572"/>
    <n v="2"/>
    <n v="-8"/>
    <n v="-12"/>
    <n v="2.6"/>
    <n v="585"/>
    <n v="0.47"/>
    <n v="1.8"/>
    <s v="Europe"/>
    <x v="0"/>
  </r>
  <r>
    <x v="11"/>
    <x v="0"/>
    <n v="24830"/>
    <n v="-24572"/>
    <n v="17230"/>
    <n v="1441"/>
    <n v="17"/>
    <n v="-3"/>
    <n v="-4"/>
    <n v="2.4"/>
    <n v="2900"/>
    <n v="0.5"/>
    <n v="1.8"/>
    <s v="Europe"/>
    <x v="0"/>
  </r>
  <r>
    <x v="12"/>
    <x v="1"/>
    <n v="24112"/>
    <n v="-23263"/>
    <n v="44997"/>
    <n v="536"/>
    <n v="4"/>
    <n v="1"/>
    <n v="6"/>
    <n v="2.4"/>
    <n v="1635"/>
    <n v="1"/>
    <n v="0"/>
    <s v="North America"/>
    <x v="1"/>
  </r>
  <r>
    <x v="13"/>
    <x v="3"/>
    <n v="22859"/>
    <n v="-10206"/>
    <n v="49812"/>
    <n v="459"/>
    <n v="11"/>
    <n v="8"/>
    <n v="7"/>
    <n v="2.2000000000000002"/>
    <n v="3575"/>
    <n v="0.33"/>
    <n v="4.5999999999999996"/>
    <s v="Southeast Asia"/>
    <x v="0"/>
  </r>
  <r>
    <x v="14"/>
    <x v="0"/>
    <n v="22266"/>
    <n v="-19119"/>
    <n v="37739"/>
    <n v="590"/>
    <n v="12"/>
    <n v="4"/>
    <n v="-1"/>
    <n v="2.2000000000000002"/>
    <n v="1604"/>
    <n v="0.22"/>
    <n v="1.8"/>
    <s v="Europe"/>
    <x v="0"/>
  </r>
  <r>
    <x v="15"/>
    <x v="3"/>
    <n v="22002"/>
    <n v="-9505"/>
    <n v="27871"/>
    <n v="789"/>
    <n v="13"/>
    <n v="8"/>
    <n v="12"/>
    <n v="2.2000000000000002"/>
    <n v="1722"/>
    <n v="0.39"/>
    <n v="0"/>
    <s v="Southeast Asia"/>
    <x v="0"/>
  </r>
  <r>
    <x v="16"/>
    <x v="5"/>
    <n v="21184"/>
    <n v="-20096"/>
    <n v="48505"/>
    <n v="437"/>
    <n v="-3"/>
    <n v="-6"/>
    <n v="-11"/>
    <n v="2.1"/>
    <n v="4114"/>
    <n v="0.85"/>
    <n v="3.2"/>
    <s v="South America"/>
    <x v="1"/>
  </r>
  <r>
    <x v="17"/>
    <x v="0"/>
    <n v="19724"/>
    <n v="-10783"/>
    <n v="38675"/>
    <n v="510"/>
    <n v="11"/>
    <n v="4"/>
    <n v="26"/>
    <n v="1.9"/>
    <n v="1241"/>
    <n v="0.2"/>
    <n v="1.8"/>
    <s v="Europe"/>
    <x v="0"/>
  </r>
  <r>
    <x v="18"/>
    <x v="0"/>
    <n v="19180"/>
    <n v="-18583"/>
    <n v="39958"/>
    <n v="480"/>
    <n v="7"/>
    <n v="4"/>
    <n v="11"/>
    <n v="1.9"/>
    <n v="499"/>
    <n v="0.61"/>
    <n v="1.8"/>
    <s v="Europe"/>
    <x v="1"/>
  </r>
  <r>
    <x v="19"/>
    <x v="5"/>
    <n v="17334"/>
    <n v="-17327"/>
    <n v="28472"/>
    <n v="609"/>
    <n v="11"/>
    <n v="3"/>
    <n v="-9"/>
    <n v="1.7"/>
    <n v="5979"/>
    <n v="0.56000000000000005"/>
    <n v="0"/>
    <s v="South America"/>
    <x v="1"/>
  </r>
  <r>
    <x v="20"/>
    <x v="5"/>
    <n v="17123"/>
    <n v="-17123"/>
    <n v="24420"/>
    <n v="701"/>
    <n v="0"/>
    <n v="-7"/>
    <n v="-25"/>
    <n v="1.7"/>
    <n v="3340"/>
    <n v="0.65"/>
    <n v="9.5"/>
    <s v="South America"/>
    <x v="1"/>
  </r>
  <r>
    <x v="21"/>
    <x v="6"/>
    <n v="16016"/>
    <n v="-4412"/>
    <n v="46171"/>
    <n v="347"/>
    <n v="3"/>
    <n v="8"/>
    <n v="-4"/>
    <n v="1.6"/>
    <n v="1616"/>
    <n v="0.67"/>
    <n v="5.9"/>
    <s v="South Asia"/>
    <x v="1"/>
  </r>
  <r>
    <x v="22"/>
    <x v="4"/>
    <n v="15912"/>
    <n v="-5068"/>
    <n v="17749"/>
    <n v="897"/>
    <n v="-20"/>
    <n v="-23"/>
    <n v="-7"/>
    <n v="1.6"/>
    <n v="2454"/>
    <n v="0.37"/>
    <n v="5.9"/>
    <s v="East Asia"/>
    <x v="0"/>
  </r>
  <r>
    <x v="23"/>
    <x v="0"/>
    <n v="15121"/>
    <n v="37147"/>
    <n v="42683"/>
    <n v="354"/>
    <n v="-4"/>
    <n v="0"/>
    <n v="30"/>
    <n v="1.5"/>
    <n v="585"/>
    <n v="0.53"/>
    <n v="1.8"/>
    <s v="Europe"/>
    <x v="1"/>
  </r>
  <r>
    <x v="24"/>
    <x v="0"/>
    <n v="14334"/>
    <n v="-12728"/>
    <n v="18980"/>
    <n v="755"/>
    <n v="5"/>
    <n v="-3"/>
    <n v="-18"/>
    <n v="1.4"/>
    <n v="600"/>
    <n v="0.32"/>
    <n v="0"/>
    <s v="Europe"/>
    <x v="0"/>
  </r>
  <r>
    <x v="25"/>
    <x v="2"/>
    <n v="13886"/>
    <n v="-784"/>
    <n v="25858"/>
    <n v="537"/>
    <n v="-4"/>
    <n v="4"/>
    <n v="-13"/>
    <n v="1.4"/>
    <n v="2489"/>
    <n v="0.46"/>
    <n v="2.7"/>
    <s v="Middle East"/>
    <x v="0"/>
  </r>
  <r>
    <x v="26"/>
    <x v="3"/>
    <n v="13109"/>
    <n v="-12460"/>
    <n v="19624"/>
    <n v="668"/>
    <n v="2"/>
    <n v="-3"/>
    <n v="-17"/>
    <n v="1.3"/>
    <n v="2721"/>
    <n v="0.22"/>
    <n v="0"/>
    <s v="Southeast Asia"/>
    <x v="0"/>
  </r>
  <r>
    <x v="27"/>
    <x v="5"/>
    <n v="12760"/>
    <n v="-12713"/>
    <n v="21046"/>
    <n v="606"/>
    <n v="2"/>
    <n v="-3"/>
    <n v="-8"/>
    <n v="1.3"/>
    <n v="5022"/>
    <n v="0.61"/>
    <n v="0"/>
    <s v="South America"/>
    <x v="1"/>
  </r>
  <r>
    <x v="28"/>
    <x v="1"/>
    <n v="11868"/>
    <n v="31469"/>
    <n v="6416"/>
    <n v="1850"/>
    <n v="-7"/>
    <n v="-18"/>
    <n v="5"/>
    <n v="1.2"/>
    <n v="2323"/>
    <n v="0.65"/>
    <n v="0.3"/>
    <s v="North America"/>
    <x v="1"/>
  </r>
  <r>
    <x v="29"/>
    <x v="0"/>
    <n v="11640"/>
    <n v="-6995"/>
    <n v="25554"/>
    <n v="456"/>
    <n v="10"/>
    <n v="5"/>
    <n v="-14"/>
    <n v="1.1000000000000001"/>
    <n v="836"/>
    <n v="0.23"/>
    <n v="1.8"/>
    <s v="Europe"/>
    <x v="0"/>
  </r>
  <r>
    <x v="30"/>
    <x v="4"/>
    <n v="10298"/>
    <n v="6183"/>
    <n v="23294"/>
    <n v="442"/>
    <n v="-1"/>
    <n v="3"/>
    <n v="8"/>
    <n v="1"/>
    <n v="1338"/>
    <n v="0.75"/>
    <n v="0.9"/>
    <s v="East Asia"/>
    <x v="1"/>
  </r>
  <r>
    <x v="31"/>
    <x v="5"/>
    <n v="9890"/>
    <n v="-9497"/>
    <n v="18215"/>
    <n v="543"/>
    <n v="3"/>
    <n v="3"/>
    <n v="-51"/>
    <n v="1"/>
    <n v="7679"/>
    <n v="0.51"/>
    <n v="0"/>
    <s v="South America"/>
    <x v="1"/>
  </r>
  <r>
    <x v="32"/>
    <x v="0"/>
    <n v="9204"/>
    <n v="-5721"/>
    <n v="40368"/>
    <n v="228"/>
    <n v="17"/>
    <n v="4"/>
    <n v="-71"/>
    <n v="0.9"/>
    <n v="4037"/>
    <n v="0.22"/>
    <n v="4.8"/>
    <s v="Europe"/>
    <x v="0"/>
  </r>
  <r>
    <x v="33"/>
    <x v="3"/>
    <n v="9200"/>
    <n v="-9200"/>
    <n v="18062"/>
    <n v="509"/>
    <n v="22"/>
    <n v="20"/>
    <n v="10"/>
    <n v="0.9"/>
    <n v="2675"/>
    <n v="0.42"/>
    <n v="2.7"/>
    <s v="Southeast Asia"/>
    <x v="0"/>
  </r>
  <r>
    <x v="34"/>
    <x v="7"/>
    <n v="8648"/>
    <n v="-5223"/>
    <n v="17053"/>
    <n v="507"/>
    <n v="27"/>
    <n v="24"/>
    <n v="-5"/>
    <n v="0.8"/>
    <n v="7318"/>
    <n v="0.24"/>
    <n v="3.1"/>
    <s v="Oceania"/>
    <x v="0"/>
  </r>
  <r>
    <x v="35"/>
    <x v="2"/>
    <n v="8513"/>
    <n v="-8513"/>
    <n v="14991"/>
    <n v="568"/>
    <n v="13"/>
    <n v="13"/>
    <n v="2"/>
    <n v="0.8"/>
    <n v="1601"/>
    <n v="0.46"/>
    <n v="0"/>
    <s v="Middle East"/>
    <x v="0"/>
  </r>
  <r>
    <x v="36"/>
    <x v="0"/>
    <n v="7397"/>
    <n v="-7086"/>
    <n v="15572"/>
    <n v="475"/>
    <n v="0"/>
    <n v="4"/>
    <n v="0"/>
    <n v="0.7"/>
    <n v="895"/>
    <n v="0.43"/>
    <n v="1.8"/>
    <s v="Europe"/>
    <x v="0"/>
  </r>
  <r>
    <x v="37"/>
    <x v="0"/>
    <n v="7283"/>
    <n v="-7254"/>
    <n v="14280"/>
    <n v="510"/>
    <n v="-6"/>
    <n v="4"/>
    <n v="1"/>
    <n v="0.7"/>
    <n v="491"/>
    <n v="0.4"/>
    <n v="1.8"/>
    <s v="Europe"/>
    <x v="0"/>
  </r>
  <r>
    <x v="38"/>
    <x v="0"/>
    <n v="6809"/>
    <n v="-6135"/>
    <n v="14692"/>
    <n v="463"/>
    <n v="2"/>
    <n v="-2"/>
    <n v="28"/>
    <n v="0.7"/>
    <n v="459"/>
    <n v="0.28000000000000003"/>
    <n v="1.8"/>
    <s v="Europe"/>
    <x v="0"/>
  </r>
  <r>
    <x v="39"/>
    <x v="0"/>
    <n v="6408"/>
    <n v="-2764"/>
    <n v="13367"/>
    <n v="479"/>
    <n v="-15"/>
    <n v="-12"/>
    <n v="7"/>
    <n v="0.6"/>
    <n v="683"/>
    <n v="0.48"/>
    <n v="0"/>
    <s v="Europe"/>
    <x v="0"/>
  </r>
  <r>
    <x v="40"/>
    <x v="6"/>
    <n v="6195"/>
    <n v="-4006"/>
    <n v="9074"/>
    <n v="683"/>
    <n v="4"/>
    <n v="29"/>
    <n v="-46"/>
    <n v="0.6"/>
    <n v="2910"/>
    <n v="0.2"/>
    <n v="0"/>
    <s v="South Asia"/>
    <x v="0"/>
  </r>
  <r>
    <x v="41"/>
    <x v="8"/>
    <n v="5792"/>
    <n v="-3324"/>
    <n v="10651"/>
    <n v="544"/>
    <n v="6"/>
    <n v="1"/>
    <n v="129"/>
    <n v="0.6"/>
    <n v="9298"/>
    <n v="0.28999999999999998"/>
    <n v="4.0999999999999996"/>
    <s v="Africa"/>
    <x v="0"/>
  </r>
  <r>
    <x v="42"/>
    <x v="6"/>
    <n v="5050"/>
    <n v="-4938"/>
    <n v="6353"/>
    <n v="795"/>
    <n v="-10"/>
    <n v="-16"/>
    <n v="-22"/>
    <n v="0.5"/>
    <n v="2928"/>
    <n v="0.37"/>
    <n v="4.8"/>
    <s v="South Asia"/>
    <x v="0"/>
  </r>
  <r>
    <x v="43"/>
    <x v="6"/>
    <n v="4965"/>
    <n v="-3648"/>
    <n v="10584"/>
    <n v="469"/>
    <n v="5"/>
    <n v="4"/>
    <n v="21"/>
    <n v="0.5"/>
    <n v="3357"/>
    <n v="0.51"/>
    <n v="10.8"/>
    <s v="South Asia"/>
    <x v="1"/>
  </r>
  <r>
    <x v="44"/>
    <x v="8"/>
    <n v="4710"/>
    <n v="-4710"/>
    <n v="5636"/>
    <n v="836"/>
    <n v="34"/>
    <n v="18"/>
    <n v="7"/>
    <n v="0.5"/>
    <n v="8910"/>
    <n v="0.26"/>
    <n v="4.7"/>
    <s v="Africa"/>
    <x v="0"/>
  </r>
  <r>
    <x v="45"/>
    <x v="8"/>
    <n v="4626"/>
    <n v="-3542"/>
    <n v="7588"/>
    <n v="610"/>
    <n v="-21"/>
    <n v="-17"/>
    <n v="-38"/>
    <n v="0.5"/>
    <n v="9635"/>
    <n v="0.31"/>
    <n v="4.0999999999999996"/>
    <s v="Africa"/>
    <x v="0"/>
  </r>
  <r>
    <x v="46"/>
    <x v="1"/>
    <n v="4559"/>
    <n v="-1491"/>
    <n v="6982"/>
    <n v="653"/>
    <n v="10"/>
    <n v="2"/>
    <n v="-8"/>
    <n v="0.4"/>
    <n v="4158"/>
    <n v="0.37"/>
    <n v="0"/>
    <s v="North America"/>
    <x v="0"/>
  </r>
  <r>
    <x v="47"/>
    <x v="0"/>
    <n v="4420"/>
    <n v="-4420"/>
    <n v="9651"/>
    <n v="458"/>
    <n v="-19"/>
    <n v="4"/>
    <n v="-39"/>
    <n v="0.4"/>
    <n v="775"/>
    <n v="0.64"/>
    <n v="1.8"/>
    <s v="Europe"/>
    <x v="1"/>
  </r>
  <r>
    <x v="48"/>
    <x v="8"/>
    <n v="3949"/>
    <n v="-3816"/>
    <n v="6473"/>
    <n v="610"/>
    <n v="8"/>
    <n v="0"/>
    <n v="-21"/>
    <n v="0.4"/>
    <n v="2776"/>
    <n v="0.41"/>
    <n v="0"/>
    <s v="Africa"/>
    <x v="0"/>
  </r>
  <r>
    <x v="49"/>
    <x v="8"/>
    <n v="3601"/>
    <n v="-3596"/>
    <n v="5487"/>
    <n v="656"/>
    <n v="12"/>
    <n v="9"/>
    <n v="67"/>
    <n v="0.4"/>
    <n v="7392"/>
    <n v="0.2"/>
    <n v="0"/>
    <s v="Africa"/>
    <x v="0"/>
  </r>
  <r>
    <x v="50"/>
    <x v="3"/>
    <n v="3432"/>
    <n v="-3432"/>
    <n v="6766"/>
    <n v="507"/>
    <n v="14"/>
    <n v="7"/>
    <n v="158"/>
    <n v="0.3"/>
    <n v="558"/>
    <n v="0.82"/>
    <n v="4.7"/>
    <s v="Southeast Asia"/>
    <x v="1"/>
  </r>
  <r>
    <x v="51"/>
    <x v="2"/>
    <n v="3245"/>
    <n v="-3071"/>
    <n v="5952"/>
    <n v="545"/>
    <n v="6"/>
    <n v="9"/>
    <n v="-13"/>
    <n v="0.3"/>
    <n v="3511"/>
    <n v="0.26"/>
    <n v="4.5"/>
    <s v="Middle East"/>
    <x v="0"/>
  </r>
  <r>
    <x v="52"/>
    <x v="6"/>
    <n v="3191"/>
    <n v="-3191"/>
    <n v="4401"/>
    <n v="725"/>
    <n v="39"/>
    <n v="4"/>
    <n v="36"/>
    <n v="0.3"/>
    <n v="2151"/>
    <n v="0.72"/>
    <n v="1.8"/>
    <s v="South Asia"/>
    <x v="1"/>
  </r>
  <r>
    <x v="53"/>
    <x v="0"/>
    <n v="3056"/>
    <n v="-2895"/>
    <n v="3883"/>
    <n v="787"/>
    <n v="5"/>
    <n v="-5"/>
    <n v="14"/>
    <n v="0.3"/>
    <n v="1329"/>
    <n v="0.31"/>
    <n v="4"/>
    <s v="Europe"/>
    <x v="0"/>
  </r>
  <r>
    <x v="54"/>
    <x v="3"/>
    <n v="3056"/>
    <n v="-2904"/>
    <n v="7159"/>
    <n v="427"/>
    <n v="45"/>
    <n v="46"/>
    <n v="-31"/>
    <n v="0.3"/>
    <n v="1871"/>
    <n v="0.33"/>
    <n v="3.3"/>
    <s v="Southeast Asia"/>
    <x v="0"/>
  </r>
  <r>
    <x v="55"/>
    <x v="8"/>
    <n v="2879"/>
    <n v="-2879"/>
    <n v="4698"/>
    <n v="613"/>
    <n v="-1"/>
    <n v="-14"/>
    <n v="36"/>
    <n v="0.3"/>
    <n v="4668"/>
    <n v="0.44"/>
    <n v="4.7"/>
    <s v="Africa"/>
    <x v="0"/>
  </r>
  <r>
    <x v="56"/>
    <x v="0"/>
    <n v="2836"/>
    <n v="-2658"/>
    <n v="2736"/>
    <n v="1037"/>
    <n v="12"/>
    <n v="-1"/>
    <n v="-5"/>
    <n v="0.3"/>
    <n v="859"/>
    <n v="0.2"/>
    <n v="1.8"/>
    <s v="Europe"/>
    <x v="0"/>
  </r>
  <r>
    <x v="57"/>
    <x v="2"/>
    <n v="2767"/>
    <n v="-1223"/>
    <n v="2840"/>
    <n v="974"/>
    <n v="3"/>
    <n v="-4"/>
    <n v="13"/>
    <n v="0.3"/>
    <n v="5046"/>
    <n v="0.21"/>
    <n v="4.5"/>
    <s v="Middle East"/>
    <x v="0"/>
  </r>
  <r>
    <x v="58"/>
    <x v="1"/>
    <n v="2752"/>
    <n v="-2735"/>
    <n v="3827"/>
    <n v="719"/>
    <n v="17"/>
    <n v="5"/>
    <n v="16"/>
    <n v="0.3"/>
    <n v="4136"/>
    <n v="0.48"/>
    <n v="0"/>
    <s v="North America"/>
    <x v="0"/>
  </r>
  <r>
    <x v="59"/>
    <x v="7"/>
    <n v="2487"/>
    <n v="-1482"/>
    <n v="2882"/>
    <n v="863"/>
    <n v="-1"/>
    <n v="4"/>
    <n v="12"/>
    <n v="0.2"/>
    <n v="10432"/>
    <n v="0.17"/>
    <n v="0"/>
    <s v="Oceania"/>
    <x v="0"/>
  </r>
  <r>
    <x v="60"/>
    <x v="0"/>
    <n v="2465"/>
    <n v="-2011"/>
    <n v="3537"/>
    <n v="697"/>
    <n v="21"/>
    <n v="8"/>
    <n v="20"/>
    <n v="0.2"/>
    <n v="795"/>
    <n v="0.22"/>
    <n v="0.8"/>
    <s v="Europe"/>
    <x v="0"/>
  </r>
  <r>
    <x v="61"/>
    <x v="3"/>
    <n v="2310"/>
    <n v="51580"/>
    <n v="2644"/>
    <n v="874"/>
    <n v="-4"/>
    <n v="-5"/>
    <n v="20"/>
    <n v="0.2"/>
    <n v="4930"/>
    <n v="0.36"/>
    <n v="2.2000000000000002"/>
    <s v="Southeast Asia"/>
    <x v="0"/>
  </r>
  <r>
    <x v="62"/>
    <x v="8"/>
    <n v="2221"/>
    <n v="-2130"/>
    <n v="1931"/>
    <n v="1150"/>
    <n v="27"/>
    <n v="15"/>
    <n v="1491"/>
    <n v="0.2"/>
    <n v="6281"/>
    <n v="0.33"/>
    <n v="5"/>
    <s v="Africa"/>
    <x v="0"/>
  </r>
  <r>
    <x v="63"/>
    <x v="8"/>
    <n v="2212"/>
    <n v="-2212"/>
    <n v="2911"/>
    <n v="760"/>
    <n v="20"/>
    <n v="19"/>
    <n v="8"/>
    <n v="0.2"/>
    <n v="4753"/>
    <n v="0.27"/>
    <n v="4.5"/>
    <s v="Africa"/>
    <x v="0"/>
  </r>
  <r>
    <x v="64"/>
    <x v="0"/>
    <n v="2181"/>
    <n v="-1980"/>
    <n v="3364"/>
    <n v="648"/>
    <n v="1"/>
    <n v="-2"/>
    <n v="-12"/>
    <n v="0.2"/>
    <n v="2115"/>
    <n v="0.2"/>
    <n v="1.8"/>
    <s v="Europe"/>
    <x v="0"/>
  </r>
  <r>
    <x v="65"/>
    <x v="0"/>
    <n v="2113"/>
    <n v="-1989"/>
    <n v="3950"/>
    <n v="535"/>
    <n v="7"/>
    <n v="4"/>
    <n v="7"/>
    <n v="0.2"/>
    <n v="1354"/>
    <n v="0.12"/>
    <n v="1.8"/>
    <s v="Europe"/>
    <x v="0"/>
  </r>
  <r>
    <x v="66"/>
    <x v="7"/>
    <n v="2071"/>
    <n v="-886"/>
    <n v="2012"/>
    <n v="1029"/>
    <n v="30"/>
    <n v="23"/>
    <n v="12"/>
    <n v="0.2"/>
    <n v="2987"/>
    <n v="0.94"/>
    <n v="0"/>
    <s v="Oceania"/>
    <x v="1"/>
  </r>
  <r>
    <x v="67"/>
    <x v="8"/>
    <n v="2021"/>
    <n v="-1981"/>
    <n v="2863"/>
    <n v="706"/>
    <n v="-2"/>
    <n v="-10"/>
    <n v="-25"/>
    <n v="0.2"/>
    <n v="2050"/>
    <n v="0.26"/>
    <n v="1.7"/>
    <s v="Africa"/>
    <x v="0"/>
  </r>
  <r>
    <x v="68"/>
    <x v="8"/>
    <n v="1964"/>
    <n v="-1964"/>
    <n v="2945"/>
    <n v="667"/>
    <n v="21"/>
    <n v="39"/>
    <n v="9"/>
    <n v="0.2"/>
    <n v="1808"/>
    <n v="0.24"/>
    <n v="12.2"/>
    <s v="Africa"/>
    <x v="0"/>
  </r>
  <r>
    <x v="69"/>
    <x v="8"/>
    <n v="1799"/>
    <n v="-1563"/>
    <n v="2905"/>
    <n v="619"/>
    <n v="13"/>
    <n v="8"/>
    <n v="18"/>
    <n v="0.2"/>
    <n v="8396"/>
    <n v="0.4"/>
    <n v="0"/>
    <s v="Africa"/>
    <x v="0"/>
  </r>
  <r>
    <x v="70"/>
    <x v="0"/>
    <n v="1791"/>
    <n v="-1772"/>
    <n v="3169"/>
    <n v="565"/>
    <n v="9"/>
    <n v="4"/>
    <n v="-16"/>
    <n v="0.2"/>
    <n v="2144"/>
    <n v="0.41"/>
    <n v="4.8"/>
    <s v="Europe"/>
    <x v="0"/>
  </r>
  <r>
    <x v="71"/>
    <x v="4"/>
    <n v="1753"/>
    <n v="75594"/>
    <n v="1040"/>
    <n v="1686"/>
    <n v="-14"/>
    <n v="-32"/>
    <n v="-9"/>
    <n v="0.2"/>
    <n v="6019"/>
    <n v="0.16"/>
    <n v="3.1"/>
    <s v="East Asia"/>
    <x v="0"/>
  </r>
  <r>
    <x v="72"/>
    <x v="8"/>
    <n v="1697"/>
    <n v="-1697"/>
    <n v="1957"/>
    <n v="867"/>
    <n v="9"/>
    <n v="1"/>
    <n v="1"/>
    <n v="0.2"/>
    <n v="6626"/>
    <n v="0.26"/>
    <n v="4.7"/>
    <s v="Africa"/>
    <x v="0"/>
  </r>
  <r>
    <x v="73"/>
    <x v="0"/>
    <n v="1693"/>
    <n v="-1693"/>
    <n v="2642"/>
    <n v="641"/>
    <n v="15"/>
    <n v="10"/>
    <n v="-1"/>
    <n v="0.2"/>
    <n v="764"/>
    <n v="0.28999999999999998"/>
    <n v="1.8"/>
    <s v="Europe"/>
    <x v="0"/>
  </r>
  <r>
    <x v="74"/>
    <x v="1"/>
    <n v="1630"/>
    <n v="-1581"/>
    <n v="2449"/>
    <n v="666"/>
    <n v="1"/>
    <n v="-3"/>
    <n v="-40"/>
    <n v="0.2"/>
    <n v="4932"/>
    <n v="0.34"/>
    <n v="0"/>
    <s v="North America"/>
    <x v="0"/>
  </r>
  <r>
    <x v="75"/>
    <x v="8"/>
    <n v="1575"/>
    <n v="-1298"/>
    <n v="2527"/>
    <n v="623"/>
    <n v="12"/>
    <n v="8"/>
    <n v="-21"/>
    <n v="0.2"/>
    <n v="1332"/>
    <n v="0.32"/>
    <n v="0"/>
    <s v="Africa"/>
    <x v="0"/>
  </r>
  <r>
    <x v="76"/>
    <x v="1"/>
    <n v="1550"/>
    <n v="-1064"/>
    <n v="1883"/>
    <n v="823"/>
    <n v="12"/>
    <n v="3"/>
    <n v="6"/>
    <n v="0.2"/>
    <n v="7032"/>
    <n v="0.26"/>
    <n v="0"/>
    <s v="North America"/>
    <x v="0"/>
  </r>
  <r>
    <x v="77"/>
    <x v="5"/>
    <n v="1532"/>
    <n v="-1481"/>
    <n v="2143"/>
    <n v="715"/>
    <n v="20"/>
    <n v="20"/>
    <n v="11"/>
    <n v="0.2"/>
    <n v="2431"/>
    <n v="0.81"/>
    <n v="9.6"/>
    <s v="South America"/>
    <x v="1"/>
  </r>
  <r>
    <x v="78"/>
    <x v="2"/>
    <n v="1463"/>
    <n v="-1239"/>
    <n v="926"/>
    <n v="800"/>
    <n v="18"/>
    <n v="4"/>
    <n v="0"/>
    <n v="0.1"/>
    <n v="2513"/>
    <n v="0.39"/>
    <n v="15"/>
    <s v="Middle East"/>
    <x v="0"/>
  </r>
  <r>
    <x v="79"/>
    <x v="6"/>
    <n v="1289"/>
    <n v="-1261"/>
    <n v="3299"/>
    <n v="391"/>
    <n v="-5"/>
    <n v="0"/>
    <n v="3"/>
    <n v="0.1"/>
    <n v="2413"/>
    <n v="0.66"/>
    <n v="0"/>
    <s v="South Asia"/>
    <x v="1"/>
  </r>
  <r>
    <x v="80"/>
    <x v="1"/>
    <n v="1159"/>
    <n v="-1150"/>
    <n v="997"/>
    <n v="1162"/>
    <n v="56"/>
    <n v="59"/>
    <n v="23"/>
    <n v="0.1"/>
    <n v="6132"/>
    <n v="0.19"/>
    <n v="0"/>
    <s v="North America"/>
    <x v="0"/>
  </r>
  <r>
    <x v="81"/>
    <x v="2"/>
    <n v="1126"/>
    <n v="-1126"/>
    <n v="1494"/>
    <n v="754"/>
    <n v="23"/>
    <n v="18"/>
    <n v="109"/>
    <n v="0.1"/>
    <n v="1462"/>
    <n v="0.59"/>
    <n v="0"/>
    <s v="Middle East"/>
    <x v="1"/>
  </r>
  <r>
    <x v="82"/>
    <x v="5"/>
    <n v="1102"/>
    <n v="-1085"/>
    <n v="1571"/>
    <n v="701"/>
    <n v="17"/>
    <n v="11"/>
    <n v="21"/>
    <n v="0.1"/>
    <n v="4395"/>
    <n v="0.65"/>
    <n v="9.6"/>
    <s v="South America"/>
    <x v="1"/>
  </r>
  <r>
    <x v="83"/>
    <x v="2"/>
    <n v="1065"/>
    <n v="-1064"/>
    <n v="1743"/>
    <n v="611"/>
    <n v="8"/>
    <n v="8"/>
    <n v="-41"/>
    <n v="0.1"/>
    <n v="1426"/>
    <n v="0.44"/>
    <n v="4.5"/>
    <s v="Middle East"/>
    <x v="0"/>
  </r>
  <r>
    <x v="84"/>
    <x v="8"/>
    <n v="1061"/>
    <n v="-1061"/>
    <n v="1780"/>
    <n v="596"/>
    <n v="55"/>
    <n v="63"/>
    <n v="-34"/>
    <n v="0.1"/>
    <n v="9695"/>
    <n v="0.28999999999999998"/>
    <n v="4.7"/>
    <s v="Africa"/>
    <x v="0"/>
  </r>
  <r>
    <x v="85"/>
    <x v="0"/>
    <n v="936"/>
    <n v="-164"/>
    <n v="935"/>
    <n v="1001"/>
    <n v="21"/>
    <n v="5"/>
    <n v="-16"/>
    <n v="0.1"/>
    <n v="1202"/>
    <n v="0.33"/>
    <n v="1.8"/>
    <s v="Europe"/>
    <x v="0"/>
  </r>
  <r>
    <x v="86"/>
    <x v="5"/>
    <n v="916"/>
    <n v="60287"/>
    <n v="334"/>
    <n v="2743"/>
    <n v="-11"/>
    <n v="36"/>
    <n v="-17"/>
    <n v="0.1"/>
    <n v="9531"/>
    <n v="0.22"/>
    <n v="9.5"/>
    <s v="South America"/>
    <x v="0"/>
  </r>
  <r>
    <x v="87"/>
    <x v="8"/>
    <n v="915"/>
    <n v="-892"/>
    <n v="1587"/>
    <n v="577"/>
    <n v="8"/>
    <n v="2"/>
    <n v="85"/>
    <n v="0.1"/>
    <n v="7942"/>
    <n v="0.26"/>
    <n v="0"/>
    <s v="Africa"/>
    <x v="0"/>
  </r>
  <r>
    <x v="88"/>
    <x v="0"/>
    <n v="881"/>
    <n v="-250"/>
    <n v="1336"/>
    <n v="659"/>
    <n v="-9"/>
    <n v="-17"/>
    <n v="-34"/>
    <n v="0.1"/>
    <n v="1059"/>
    <n v="0.19"/>
    <n v="1.8"/>
    <s v="Europe"/>
    <x v="0"/>
  </r>
  <r>
    <x v="89"/>
    <x v="5"/>
    <n v="880"/>
    <n v="-880"/>
    <n v="888"/>
    <n v="991"/>
    <n v="5"/>
    <n v="0"/>
    <n v="-10"/>
    <n v="0.1"/>
    <n v="7027"/>
    <n v="0.35"/>
    <n v="0"/>
    <s v="South America"/>
    <x v="0"/>
  </r>
  <r>
    <x v="90"/>
    <x v="1"/>
    <n v="796"/>
    <n v="-734"/>
    <n v="1012"/>
    <n v="787"/>
    <n v="1"/>
    <n v="-11"/>
    <n v="-51"/>
    <n v="0.1"/>
    <n v="5727"/>
    <n v="0.47"/>
    <n v="0"/>
    <s v="North America"/>
    <x v="0"/>
  </r>
  <r>
    <x v="91"/>
    <x v="0"/>
    <n v="787"/>
    <n v="-611"/>
    <n v="1076"/>
    <n v="731"/>
    <n v="5"/>
    <n v="-6"/>
    <n v="4"/>
    <n v="0.1"/>
    <n v="694"/>
    <n v="0.2"/>
    <n v="1.8"/>
    <s v="Europe"/>
    <x v="0"/>
  </r>
  <r>
    <x v="92"/>
    <x v="2"/>
    <n v="724"/>
    <n v="-724"/>
    <n v="782"/>
    <n v="926"/>
    <n v="12"/>
    <n v="4"/>
    <n v="29"/>
    <n v="0.1"/>
    <n v="3774"/>
    <n v="0.19"/>
    <n v="1.8"/>
    <s v="Middle East"/>
    <x v="0"/>
  </r>
  <r>
    <x v="93"/>
    <x v="6"/>
    <n v="668"/>
    <n v="-668"/>
    <n v="741"/>
    <n v="901"/>
    <n v="18"/>
    <n v="-1"/>
    <n v="-28"/>
    <n v="0.1"/>
    <n v="3382"/>
    <n v="0.28999999999999998"/>
    <n v="4.8"/>
    <s v="South Asia"/>
    <x v="0"/>
  </r>
  <r>
    <x v="94"/>
    <x v="8"/>
    <n v="632"/>
    <n v="-632"/>
    <n v="1565"/>
    <n v="404"/>
    <n v="-16"/>
    <n v="-32"/>
    <n v="-3"/>
    <n v="0.1"/>
    <n v="3697"/>
    <n v="0.65"/>
    <n v="4.7"/>
    <s v="Africa"/>
    <x v="1"/>
  </r>
  <r>
    <x v="95"/>
    <x v="8"/>
    <n v="629"/>
    <n v="-619"/>
    <n v="758"/>
    <n v="830"/>
    <n v="55"/>
    <n v="50"/>
    <n v="197"/>
    <n v="0.1"/>
    <n v="5771"/>
    <n v="0.3"/>
    <n v="4.2"/>
    <s v="Africa"/>
    <x v="0"/>
  </r>
  <r>
    <x v="96"/>
    <x v="8"/>
    <n v="613"/>
    <n v="-613"/>
    <n v="595"/>
    <n v="1030"/>
    <n v="3"/>
    <n v="1"/>
    <n v="-23"/>
    <n v="0.1"/>
    <n v="7682"/>
    <n v="0.26"/>
    <n v="4.0999999999999996"/>
    <s v="Africa"/>
    <x v="0"/>
  </r>
  <r>
    <x v="97"/>
    <x v="4"/>
    <n v="572"/>
    <n v="-438"/>
    <n v="896"/>
    <n v="638"/>
    <n v="4"/>
    <n v="-1"/>
    <n v="15"/>
    <n v="0.1"/>
    <n v="2244"/>
    <n v="0.35"/>
    <n v="0"/>
    <s v="East Asia"/>
    <x v="0"/>
  </r>
  <r>
    <x v="98"/>
    <x v="8"/>
    <n v="559"/>
    <n v="-498"/>
    <n v="1243"/>
    <n v="450"/>
    <n v="28"/>
    <n v="18"/>
    <n v="-31"/>
    <n v="0.1"/>
    <n v="8280"/>
    <n v="0.32"/>
    <n v="0"/>
    <s v="Africa"/>
    <x v="0"/>
  </r>
  <r>
    <x v="99"/>
    <x v="2"/>
    <n v="544"/>
    <n v="-544"/>
    <n v="728"/>
    <n v="747"/>
    <n v="11"/>
    <n v="7"/>
    <n v="1"/>
    <n v="0.1"/>
    <n v="4292"/>
    <n v="0.31"/>
    <n v="4.5"/>
    <s v="Middle East"/>
    <x v="0"/>
  </r>
  <r>
    <x v="100"/>
    <x v="8"/>
    <n v="528"/>
    <n v="-528"/>
    <n v="459"/>
    <n v="1150"/>
    <n v="-11"/>
    <n v="-12"/>
    <n v="-10"/>
    <n v="0.1"/>
    <n v="2435"/>
    <n v="0.62"/>
    <n v="4.0999999999999996"/>
    <s v="Africa"/>
    <x v="1"/>
  </r>
  <r>
    <x v="101"/>
    <x v="8"/>
    <n v="474"/>
    <n v="-474"/>
    <n v="616"/>
    <n v="770"/>
    <n v="-3"/>
    <n v="4"/>
    <n v="78"/>
    <n v="0"/>
    <n v="1779"/>
    <n v="0.31"/>
    <n v="4.5999999999999996"/>
    <s v="Africa"/>
    <x v="0"/>
  </r>
  <r>
    <x v="102"/>
    <x v="8"/>
    <n v="424"/>
    <n v="-415"/>
    <n v="429"/>
    <n v="988"/>
    <n v="10"/>
    <n v="20"/>
    <n v="56"/>
    <n v="0"/>
    <n v="7649"/>
    <n v="0.28999999999999998"/>
    <n v="0"/>
    <s v="Africa"/>
    <x v="0"/>
  </r>
  <r>
    <x v="103"/>
    <x v="6"/>
    <n v="415"/>
    <n v="-415"/>
    <n v="992"/>
    <n v="418"/>
    <n v="32"/>
    <n v="43"/>
    <n v="10"/>
    <n v="0"/>
    <n v="971"/>
    <n v="0.87"/>
    <n v="9.9"/>
    <s v="South Asia"/>
    <x v="1"/>
  </r>
  <r>
    <x v="104"/>
    <x v="2"/>
    <n v="413"/>
    <n v="-413"/>
    <n v="647"/>
    <n v="638"/>
    <n v="9"/>
    <n v="0"/>
    <n v="-20"/>
    <n v="0"/>
    <n v="1732"/>
    <n v="0.28000000000000003"/>
    <n v="4.5"/>
    <s v="Middle East"/>
    <x v="0"/>
  </r>
  <r>
    <x v="105"/>
    <x v="0"/>
    <n v="386"/>
    <n v="-242"/>
    <n v="447"/>
    <n v="864"/>
    <n v="28"/>
    <n v="27"/>
    <n v="10"/>
    <n v="0"/>
    <n v="812"/>
    <n v="0.3"/>
    <n v="1.8"/>
    <s v="Europe"/>
    <x v="0"/>
  </r>
  <r>
    <x v="106"/>
    <x v="3"/>
    <n v="367"/>
    <n v="-367"/>
    <n v="1332"/>
    <n v="276"/>
    <n v="-6"/>
    <n v="-9"/>
    <n v="-72"/>
    <n v="0"/>
    <n v="681"/>
    <n v="0.61"/>
    <n v="1.4"/>
    <s v="Southeast Asia"/>
    <x v="1"/>
  </r>
  <r>
    <x v="107"/>
    <x v="2"/>
    <n v="362"/>
    <n v="-362"/>
    <n v="434"/>
    <n v="834"/>
    <n v="2"/>
    <n v="-15"/>
    <n v="-39"/>
    <n v="0"/>
    <n v="4500"/>
    <n v="0.15"/>
    <n v="4.5"/>
    <s v="Middle East"/>
    <x v="0"/>
  </r>
  <r>
    <x v="108"/>
    <x v="5"/>
    <n v="341"/>
    <n v="17"/>
    <n v="369"/>
    <n v="925"/>
    <n v="46"/>
    <n v="19"/>
    <n v="-17"/>
    <n v="0"/>
    <n v="10439"/>
    <n v="0.2"/>
    <n v="9.6"/>
    <s v="South America"/>
    <x v="0"/>
  </r>
  <r>
    <x v="109"/>
    <x v="1"/>
    <n v="338"/>
    <n v="-38"/>
    <n v="347"/>
    <n v="974"/>
    <n v="-4"/>
    <n v="-10"/>
    <n v="15"/>
    <n v="0"/>
    <n v="10034"/>
    <n v="0.26"/>
    <n v="0"/>
    <s v="North America"/>
    <x v="0"/>
  </r>
  <r>
    <x v="110"/>
    <x v="0"/>
    <n v="306"/>
    <n v="-283"/>
    <n v="280"/>
    <n v="1093"/>
    <n v="15"/>
    <n v="4"/>
    <n v="13"/>
    <n v="0"/>
    <n v="1106"/>
    <n v="0.32"/>
    <n v="2.4"/>
    <s v="Europe"/>
    <x v="0"/>
  </r>
  <r>
    <x v="111"/>
    <x v="0"/>
    <n v="288"/>
    <n v="-288"/>
    <n v="200"/>
    <n v="1440"/>
    <n v="9"/>
    <n v="38"/>
    <n v="36"/>
    <n v="0"/>
    <n v="1551"/>
    <n v="0.49"/>
    <n v="0"/>
    <s v="Europe"/>
    <x v="0"/>
  </r>
  <r>
    <x v="112"/>
    <x v="1"/>
    <n v="276"/>
    <n v="-276"/>
    <n v="210"/>
    <n v="1315"/>
    <n v="42"/>
    <n v="81"/>
    <n v="12"/>
    <n v="0"/>
    <n v="3740"/>
    <n v="0.56000000000000005"/>
    <n v="0"/>
    <s v="North America"/>
    <x v="1"/>
  </r>
  <r>
    <x v="113"/>
    <x v="6"/>
    <n v="248"/>
    <n v="27143"/>
    <n v="247"/>
    <n v="1004"/>
    <n v="-20"/>
    <n v="-38"/>
    <n v="20"/>
    <n v="0"/>
    <n v="2020"/>
    <n v="0.37"/>
    <n v="10"/>
    <s v="South Asia"/>
    <x v="0"/>
  </r>
  <r>
    <x v="114"/>
    <x v="8"/>
    <n v="228"/>
    <n v="-228"/>
    <n v="393"/>
    <n v="580"/>
    <n v="17"/>
    <n v="15"/>
    <n v="53"/>
    <n v="0"/>
    <n v="9579"/>
    <n v="0.5"/>
    <n v="4.0999999999999996"/>
    <s v="Africa"/>
    <x v="0"/>
  </r>
  <r>
    <x v="115"/>
    <x v="0"/>
    <n v="225"/>
    <n v="-225"/>
    <n v="71"/>
    <n v="3169"/>
    <n v="18"/>
    <n v="15"/>
    <n v="30"/>
    <n v="0"/>
    <n v="2146"/>
    <n v="0.23"/>
    <n v="0"/>
    <s v="Europe"/>
    <x v="0"/>
  </r>
  <r>
    <x v="116"/>
    <x v="0"/>
    <n v="222"/>
    <n v="-222"/>
    <n v="164"/>
    <n v="1354"/>
    <n v="7"/>
    <n v="-8"/>
    <n v="-8"/>
    <n v="0"/>
    <n v="820"/>
    <n v="0.15"/>
    <n v="0"/>
    <s v="Europe"/>
    <x v="0"/>
  </r>
  <r>
    <x v="117"/>
    <x v="2"/>
    <n v="221"/>
    <n v="-175"/>
    <n v="177"/>
    <n v="1249"/>
    <n v="7"/>
    <n v="-8"/>
    <n v="-35"/>
    <n v="0"/>
    <n v="2508"/>
    <n v="0.33"/>
    <n v="4.8"/>
    <s v="Middle East"/>
    <x v="0"/>
  </r>
  <r>
    <x v="118"/>
    <x v="2"/>
    <n v="216"/>
    <n v="-216"/>
    <n v="350"/>
    <n v="617"/>
    <n v="14"/>
    <n v="20"/>
    <n v="-44"/>
    <n v="0"/>
    <n v="1806"/>
    <n v="0.39"/>
    <n v="0"/>
    <s v="Middle East"/>
    <x v="0"/>
  </r>
  <r>
    <x v="119"/>
    <x v="0"/>
    <n v="205"/>
    <n v="-205"/>
    <n v="249"/>
    <n v="823"/>
    <n v="24"/>
    <n v="27"/>
    <n v="-63"/>
    <n v="0"/>
    <n v="2620"/>
    <n v="0.45"/>
    <n v="1.8"/>
    <s v="Europe"/>
    <x v="0"/>
  </r>
  <r>
    <x v="120"/>
    <x v="1"/>
    <n v="200"/>
    <n v="-182"/>
    <n v="158"/>
    <n v="1266"/>
    <n v="8"/>
    <n v="3"/>
    <n v="-19"/>
    <n v="0"/>
    <n v="5946"/>
    <n v="0.25"/>
    <n v="0"/>
    <s v="North America"/>
    <x v="0"/>
  </r>
  <r>
    <x v="121"/>
    <x v="8"/>
    <n v="188"/>
    <n v="-188"/>
    <n v="134"/>
    <n v="1403"/>
    <n v="9"/>
    <n v="9"/>
    <n v="6"/>
    <n v="0"/>
    <n v="2029"/>
    <n v="0.94"/>
    <n v="0"/>
    <s v="Africa"/>
    <x v="1"/>
  </r>
  <r>
    <x v="122"/>
    <x v="1"/>
    <n v="182"/>
    <n v="-182"/>
    <n v="54"/>
    <n v="3370"/>
    <n v="14"/>
    <n v="6"/>
    <n v="-4"/>
    <n v="0"/>
    <n v="4229"/>
    <n v="0.93"/>
    <n v="4.2"/>
    <s v="North America"/>
    <x v="1"/>
  </r>
  <r>
    <x v="123"/>
    <x v="6"/>
    <n v="178"/>
    <n v="-178"/>
    <n v="287"/>
    <n v="620"/>
    <n v="33"/>
    <n v="4"/>
    <n v="19"/>
    <n v="0"/>
    <n v="2850"/>
    <n v="0.48"/>
    <n v="1.8"/>
    <s v="South Asia"/>
    <x v="0"/>
  </r>
  <r>
    <x v="124"/>
    <x v="0"/>
    <n v="170"/>
    <n v="-135"/>
    <n v="556"/>
    <n v="306"/>
    <n v="6"/>
    <n v="8"/>
    <n v="6"/>
    <n v="0"/>
    <n v="232"/>
    <n v="0.51"/>
    <n v="1.8"/>
    <s v="Europe"/>
    <x v="1"/>
  </r>
  <r>
    <x v="125"/>
    <x v="0"/>
    <n v="170"/>
    <n v="-164"/>
    <n v="193"/>
    <n v="881"/>
    <n v="0"/>
    <n v="4"/>
    <n v="-3"/>
    <n v="0"/>
    <n v="974"/>
    <n v="0.23"/>
    <n v="0"/>
    <s v="Europe"/>
    <x v="0"/>
  </r>
  <r>
    <x v="126"/>
    <x v="0"/>
    <n v="167"/>
    <n v="-167"/>
    <n v="223"/>
    <n v="750"/>
    <n v="17"/>
    <n v="4"/>
    <n v="30"/>
    <n v="0"/>
    <n v="1755"/>
    <n v="0.39"/>
    <n v="0.6"/>
    <s v="Europe"/>
    <x v="0"/>
  </r>
  <r>
    <x v="127"/>
    <x v="4"/>
    <n v="157"/>
    <n v="-157"/>
    <n v="172"/>
    <n v="913"/>
    <n v="14"/>
    <n v="12"/>
    <n v="-55"/>
    <n v="0"/>
    <n v="2866"/>
    <n v="0.45"/>
    <n v="5"/>
    <s v="East Asia"/>
    <x v="0"/>
  </r>
  <r>
    <x v="128"/>
    <x v="7"/>
    <n v="152"/>
    <n v="-152"/>
    <n v="94"/>
    <n v="1617"/>
    <n v="42"/>
    <n v="34"/>
    <n v="56"/>
    <n v="0"/>
    <n v="4623"/>
    <n v="0.51"/>
    <n v="4.9000000000000004"/>
    <s v="Oceania"/>
    <x v="1"/>
  </r>
  <r>
    <x v="129"/>
    <x v="8"/>
    <n v="147"/>
    <n v="-147"/>
    <n v="146"/>
    <n v="1007"/>
    <n v="27"/>
    <n v="39"/>
    <n v="-66"/>
    <n v="0"/>
    <n v="8001"/>
    <n v="0.47"/>
    <n v="0"/>
    <s v="Africa"/>
    <x v="0"/>
  </r>
  <r>
    <x v="130"/>
    <x v="8"/>
    <n v="123"/>
    <n v="-123"/>
    <n v="120"/>
    <n v="1025"/>
    <n v="-8"/>
    <n v="4"/>
    <n v="-44"/>
    <n v="0"/>
    <n v="6049"/>
    <n v="0.19"/>
    <n v="4.9000000000000004"/>
    <s v="Africa"/>
    <x v="0"/>
  </r>
  <r>
    <x v="131"/>
    <x v="6"/>
    <n v="120"/>
    <n v="-120"/>
    <n v="84"/>
    <n v="1429"/>
    <n v="21"/>
    <n v="24"/>
    <n v="-11"/>
    <n v="0"/>
    <n v="1984"/>
    <n v="0.36"/>
    <n v="4.7"/>
    <s v="South Asia"/>
    <x v="0"/>
  </r>
  <r>
    <x v="132"/>
    <x v="8"/>
    <n v="119"/>
    <n v="-119"/>
    <n v="126"/>
    <n v="944"/>
    <n v="8"/>
    <n v="13"/>
    <n v="16"/>
    <n v="0"/>
    <n v="5457"/>
    <n v="0.41"/>
    <n v="2.4"/>
    <s v="Africa"/>
    <x v="0"/>
  </r>
  <r>
    <x v="133"/>
    <x v="0"/>
    <n v="114"/>
    <n v="-114"/>
    <n v="123"/>
    <n v="927"/>
    <n v="20"/>
    <n v="10"/>
    <n v="-1"/>
    <n v="0"/>
    <n v="762"/>
    <n v="0.78"/>
    <n v="1.7"/>
    <s v="Europe"/>
    <x v="1"/>
  </r>
  <r>
    <x v="134"/>
    <x v="8"/>
    <n v="97"/>
    <n v="-97"/>
    <n v="90"/>
    <n v="1078"/>
    <n v="26"/>
    <n v="20"/>
    <n v="52"/>
    <n v="0"/>
    <n v="1940"/>
    <n v="0.6"/>
    <n v="0"/>
    <s v="Africa"/>
    <x v="1"/>
  </r>
  <r>
    <x v="135"/>
    <x v="8"/>
    <n v="96"/>
    <n v="-94"/>
    <n v="225"/>
    <n v="427"/>
    <n v="-30"/>
    <n v="25"/>
    <n v="-18"/>
    <n v="0"/>
    <n v="6747"/>
    <n v="0.66"/>
    <n v="26"/>
    <s v="Africa"/>
    <x v="1"/>
  </r>
  <r>
    <x v="136"/>
    <x v="8"/>
    <n v="86"/>
    <n v="-86"/>
    <n v="22"/>
    <n v="3909"/>
    <n v="12"/>
    <n v="14"/>
    <n v="70"/>
    <n v="0"/>
    <n v="5858"/>
    <n v="0.57999999999999996"/>
    <n v="4.9000000000000004"/>
    <s v="Africa"/>
    <x v="1"/>
  </r>
  <r>
    <x v="137"/>
    <x v="1"/>
    <n v="79"/>
    <n v="-79"/>
    <n v="45"/>
    <n v="1756"/>
    <n v="-14"/>
    <n v="4"/>
    <n v="-59"/>
    <n v="0"/>
    <n v="4192"/>
    <n v="0.38"/>
    <n v="6.4"/>
    <s v="North America"/>
    <x v="0"/>
  </r>
  <r>
    <x v="138"/>
    <x v="8"/>
    <n v="63"/>
    <n v="-63"/>
    <n v="102"/>
    <n v="618"/>
    <n v="156"/>
    <n v="329"/>
    <n v="1158"/>
    <n v="0"/>
    <n v="8058"/>
    <n v="0.97"/>
    <n v="4.7"/>
    <s v="Africa"/>
    <x v="1"/>
  </r>
  <r>
    <x v="139"/>
    <x v="5"/>
    <n v="61"/>
    <n v="-61"/>
    <n v="29"/>
    <n v="2103"/>
    <n v="45"/>
    <n v="20"/>
    <n v="42"/>
    <n v="0"/>
    <n v="5728"/>
    <n v="0.3"/>
    <n v="4.0999999999999996"/>
    <s v="South America"/>
    <x v="0"/>
  </r>
  <r>
    <x v="140"/>
    <x v="8"/>
    <n v="61"/>
    <n v="-61"/>
    <n v="80"/>
    <n v="763"/>
    <n v="8"/>
    <n v="6"/>
    <n v="-16"/>
    <n v="0"/>
    <n v="1181"/>
    <n v="0.91"/>
    <n v="4.2"/>
    <s v="Africa"/>
    <x v="1"/>
  </r>
  <r>
    <x v="141"/>
    <x v="1"/>
    <n v="57"/>
    <n v="-57"/>
    <n v="37"/>
    <n v="1525"/>
    <n v="-10"/>
    <n v="4"/>
    <n v="-2"/>
    <n v="0"/>
    <n v="2054"/>
    <n v="0.56999999999999995"/>
    <n v="4.2"/>
    <s v="North America"/>
    <x v="1"/>
  </r>
  <r>
    <x v="142"/>
    <x v="1"/>
    <n v="55"/>
    <n v="-55"/>
    <n v="38"/>
    <n v="1447"/>
    <n v="39"/>
    <n v="76"/>
    <n v="-15"/>
    <n v="0"/>
    <n v="3649"/>
    <n v="1"/>
    <n v="12"/>
    <s v="North America"/>
    <x v="1"/>
  </r>
  <r>
    <x v="143"/>
    <x v="0"/>
    <n v="53"/>
    <n v="-53"/>
    <n v="55"/>
    <n v="964"/>
    <n v="2"/>
    <n v="-5"/>
    <n v="10"/>
    <n v="0"/>
    <n v="1197"/>
    <n v="0.31"/>
    <n v="1.8"/>
    <s v="Europe"/>
    <x v="0"/>
  </r>
  <r>
    <x v="144"/>
    <x v="2"/>
    <n v="49"/>
    <n v="-49"/>
    <n v="86"/>
    <n v="570"/>
    <n v="-21"/>
    <n v="-20"/>
    <n v="-88"/>
    <n v="0"/>
    <n v="7582"/>
    <n v="0.88"/>
    <n v="0.9"/>
    <s v="Middle East"/>
    <x v="1"/>
  </r>
  <r>
    <x v="145"/>
    <x v="1"/>
    <n v="42"/>
    <n v="-42"/>
    <n v="5"/>
    <n v="8400"/>
    <n v="1"/>
    <n v="13"/>
    <n v="26"/>
    <n v="0"/>
    <n v="2022"/>
    <n v="1"/>
    <n v="39.700000000000003"/>
    <s v="North America"/>
    <x v="1"/>
  </r>
  <r>
    <x v="146"/>
    <x v="8"/>
    <n v="37"/>
    <n v="-35"/>
    <n v="119"/>
    <n v="311"/>
    <n v="-12"/>
    <n v="10"/>
    <n v="-18"/>
    <n v="0"/>
    <n v="369"/>
    <n v="1"/>
    <n v="4.2"/>
    <s v="Africa"/>
    <x v="1"/>
  </r>
  <r>
    <x v="147"/>
    <x v="8"/>
    <n v="36"/>
    <n v="-36"/>
    <n v="43"/>
    <n v="837"/>
    <n v="-1"/>
    <n v="-2"/>
    <n v="-34"/>
    <n v="0"/>
    <n v="4970"/>
    <n v="0.31"/>
    <n v="0"/>
    <s v="Africa"/>
    <x v="0"/>
  </r>
  <r>
    <x v="148"/>
    <x v="1"/>
    <n v="35"/>
    <n v="-35"/>
    <n v="3"/>
    <n v="11667"/>
    <n v="0"/>
    <n v="-21"/>
    <n v="3"/>
    <n v="0"/>
    <n v="2067"/>
    <n v="1"/>
    <n v="25"/>
    <s v="North America"/>
    <x v="1"/>
  </r>
  <r>
    <x v="149"/>
    <x v="8"/>
    <n v="34"/>
    <n v="-34"/>
    <n v="41"/>
    <n v="829"/>
    <n v="-35"/>
    <n v="4"/>
    <n v="-87"/>
    <n v="0"/>
    <n v="2813"/>
    <n v="1"/>
    <n v="1.8"/>
    <s v="Africa"/>
    <x v="1"/>
  </r>
  <r>
    <x v="150"/>
    <x v="8"/>
    <n v="32"/>
    <n v="-32"/>
    <n v="31"/>
    <n v="1025"/>
    <n v="21"/>
    <n v="4"/>
    <n v="-73"/>
    <n v="0"/>
    <n v="4344"/>
    <n v="0.39"/>
    <n v="5"/>
    <s v="Africa"/>
    <x v="0"/>
  </r>
  <r>
    <x v="151"/>
    <x v="5"/>
    <n v="29"/>
    <n v="-29"/>
    <n v="26"/>
    <n v="1115"/>
    <n v="38"/>
    <n v="58"/>
    <n v="45"/>
    <n v="0"/>
    <n v="8051"/>
    <n v="0.38"/>
    <n v="4.0999999999999996"/>
    <s v="South America"/>
    <x v="0"/>
  </r>
  <r>
    <x v="152"/>
    <x v="7"/>
    <n v="28"/>
    <n v="-28"/>
    <n v="3"/>
    <n v="9333"/>
    <n v="-13"/>
    <n v="-47"/>
    <n v="17"/>
    <n v="0"/>
    <n v="15959"/>
    <n v="0.39"/>
    <n v="7.8"/>
    <s v="Oceania"/>
    <x v="0"/>
  </r>
  <r>
    <x v="153"/>
    <x v="4"/>
    <n v="28"/>
    <n v="42"/>
    <n v="92"/>
    <n v="304"/>
    <n v="43"/>
    <n v="4"/>
    <n v="0.5"/>
    <n v="0"/>
    <n v="840"/>
    <n v="1"/>
    <n v="1.8"/>
    <s v="East Asia"/>
    <x v="1"/>
  </r>
  <r>
    <x v="154"/>
    <x v="8"/>
    <n v="21"/>
    <n v="-21"/>
    <n v="5"/>
    <n v="4200"/>
    <n v="5"/>
    <n v="-10"/>
    <n v="-75"/>
    <n v="0"/>
    <n v="7095"/>
    <n v="0.32"/>
    <n v="0"/>
    <s v="Africa"/>
    <x v="0"/>
  </r>
  <r>
    <x v="155"/>
    <x v="6"/>
    <n v="17"/>
    <n v="-17"/>
    <n v="13"/>
    <n v="1308"/>
    <n v="3"/>
    <n v="3"/>
    <n v="11"/>
    <n v="0"/>
    <n v="1298"/>
    <n v="1"/>
    <n v="4.9000000000000004"/>
    <s v="South Asia"/>
    <x v="1"/>
  </r>
  <r>
    <x v="156"/>
    <x v="1"/>
    <n v="16"/>
    <n v="-16"/>
    <n v="6"/>
    <n v="2667"/>
    <n v="-13"/>
    <n v="-13"/>
    <n v="-22"/>
    <n v="0"/>
    <n v="3652"/>
    <n v="1"/>
    <n v="4.7"/>
    <s v="North America"/>
    <x v="1"/>
  </r>
  <r>
    <x v="157"/>
    <x v="8"/>
    <n v="16"/>
    <n v="-16"/>
    <n v="9"/>
    <n v="1778"/>
    <n v="33"/>
    <n v="4"/>
    <n v="74"/>
    <n v="0"/>
    <n v="6518"/>
    <n v="0.48"/>
    <n v="9.8000000000000007"/>
    <s v="Africa"/>
    <x v="0"/>
  </r>
  <r>
    <x v="158"/>
    <x v="1"/>
    <n v="13"/>
    <n v="-13"/>
    <n v="1"/>
    <n v="13000"/>
    <n v="-10"/>
    <n v="-29"/>
    <n v="-28"/>
    <n v="0"/>
    <n v="3565"/>
    <n v="0.76"/>
    <n v="4.4000000000000004"/>
    <s v="North America"/>
    <x v="1"/>
  </r>
  <r>
    <x v="159"/>
    <x v="6"/>
    <n v="13"/>
    <n v="-13"/>
    <n v="1"/>
    <n v="13000"/>
    <n v="16"/>
    <n v="0"/>
    <n v="1"/>
    <n v="0"/>
    <n v="4681"/>
    <n v="0.44"/>
    <n v="14.6"/>
    <s v="South Asia"/>
    <x v="0"/>
  </r>
  <r>
    <x v="160"/>
    <x v="8"/>
    <n v="12"/>
    <n v="-12"/>
    <n v="11"/>
    <n v="1091"/>
    <n v="11"/>
    <n v="18"/>
    <n v="37"/>
    <n v="0"/>
    <n v="3093"/>
    <n v="0.71"/>
    <n v="0"/>
    <s v="Africa"/>
    <x v="1"/>
  </r>
  <r>
    <x v="161"/>
    <x v="1"/>
    <n v="8"/>
    <n v="-8"/>
    <n v="2"/>
    <n v="4000"/>
    <n v="-30"/>
    <n v="4"/>
    <n v="55"/>
    <n v="0"/>
    <n v="7491"/>
    <n v="1"/>
    <n v="3.5"/>
    <s v="North America"/>
    <x v="1"/>
  </r>
  <r>
    <x v="162"/>
    <x v="8"/>
    <n v="8"/>
    <n v="-8"/>
    <n v="3"/>
    <n v="2667"/>
    <n v="9"/>
    <n v="4"/>
    <n v="-53"/>
    <n v="0"/>
    <n v="5555"/>
    <n v="0.53"/>
    <n v="9.8000000000000007"/>
    <s v="Africa"/>
    <x v="1"/>
  </r>
  <r>
    <x v="163"/>
    <x v="8"/>
    <n v="6"/>
    <n v="-6"/>
    <n v="2"/>
    <n v="3000"/>
    <n v="-45"/>
    <n v="4"/>
    <n v="-90"/>
    <n v="0"/>
    <n v="4588"/>
    <n v="1"/>
    <n v="9.8000000000000007"/>
    <s v="Africa"/>
    <x v="1"/>
  </r>
  <r>
    <x v="164"/>
    <x v="0"/>
    <n v="6"/>
    <n v="-6"/>
    <n v="1"/>
    <n v="6000"/>
    <n v="2"/>
    <n v="0"/>
    <n v="98"/>
    <n v="0"/>
    <n v="373"/>
    <n v="0.56000000000000005"/>
    <n v="1.8"/>
    <s v="Europe"/>
    <x v="1"/>
  </r>
  <r>
    <x v="165"/>
    <x v="3"/>
    <n v="5"/>
    <n v="-5"/>
    <n v="2"/>
    <n v="2500"/>
    <n v="-12"/>
    <n v="7"/>
    <n v="-6"/>
    <n v="0"/>
    <n v="1119"/>
    <n v="0.56000000000000005"/>
    <n v="0"/>
    <s v="Southeast Asia"/>
    <x v="1"/>
  </r>
  <r>
    <x v="166"/>
    <x v="8"/>
    <n v="5"/>
    <n v="-5"/>
    <n v="39"/>
    <n v="128"/>
    <n v="116"/>
    <n v="4"/>
    <n v="-34"/>
    <n v="0"/>
    <n v="4279"/>
    <n v="1"/>
    <n v="5"/>
    <s v="Africa"/>
    <x v="1"/>
  </r>
  <r>
    <x v="167"/>
    <x v="7"/>
    <n v="5"/>
    <n v="-5"/>
    <n v="2"/>
    <n v="2500"/>
    <n v="45"/>
    <n v="4"/>
    <n v="-36"/>
    <n v="0"/>
    <n v="8091"/>
    <n v="0.52"/>
    <n v="0"/>
    <s v="Oceania"/>
    <x v="1"/>
  </r>
  <r>
    <x v="168"/>
    <x v="1"/>
    <n v="5"/>
    <n v="-5"/>
    <n v="11"/>
    <n v="455"/>
    <n v="-27"/>
    <n v="-3"/>
    <n v="-28"/>
    <n v="0"/>
    <n v="2813"/>
    <n v="1"/>
    <n v="1.8"/>
    <s v="North America"/>
    <x v="1"/>
  </r>
  <r>
    <x v="169"/>
    <x v="8"/>
    <n v="5"/>
    <n v="-5"/>
    <n v="3"/>
    <n v="1667"/>
    <n v="6"/>
    <n v="1"/>
    <n v="132"/>
    <n v="0"/>
    <n v="4615"/>
    <n v="1"/>
    <n v="5"/>
    <s v="Africa"/>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38792"/>
    <n v="10"/>
    <n v="13"/>
    <n v="5"/>
    <n v="400"/>
    <n v="9.9460154241645249"/>
    <n v="0"/>
    <n v="10"/>
    <n v="8.989203084832905"/>
    <x v="0"/>
  </r>
  <r>
    <x v="1"/>
    <n v="13886"/>
    <n v="8.1999856965281452"/>
    <n v="-4"/>
    <n v="1"/>
    <n v="900"/>
    <n v="9.5604113110539846"/>
    <n v="0"/>
    <n v="10"/>
    <n v="7.4820772559956481"/>
    <x v="0"/>
  </r>
  <r>
    <x v="2"/>
    <n v="8513"/>
    <n v="7.3426948282910063"/>
    <n v="13"/>
    <n v="5"/>
    <n v="330"/>
    <n v="10"/>
    <n v="0"/>
    <n v="10"/>
    <n v="8.0699431899018528"/>
    <x v="0"/>
  </r>
  <r>
    <x v="3"/>
    <n v="5792"/>
    <n v="6.6679226480301725"/>
    <n v="6"/>
    <n v="5"/>
    <n v="8800"/>
    <n v="3.467866323907455"/>
    <n v="4.0999999999999996"/>
    <n v="7"/>
    <n v="5.7773461915920512"/>
    <x v="1"/>
  </r>
  <r>
    <x v="4"/>
    <n v="4710"/>
    <n v="6.305601435522366"/>
    <n v="34"/>
    <n v="10"/>
    <n v="12000"/>
    <n v="1"/>
    <n v="4.7"/>
    <n v="7"/>
    <n v="6.1569605024328284"/>
    <x v="1"/>
  </r>
  <r>
    <x v="5"/>
    <n v="3245"/>
    <n v="5.6528082345158612"/>
    <n v="6"/>
    <n v="5"/>
    <n v="4200"/>
    <n v="7.015424164524422"/>
    <n v="0"/>
    <n v="10"/>
    <n v="6.8815677149854357"/>
    <x v="2"/>
  </r>
  <r>
    <x v="6"/>
    <n v="2221"/>
    <n v="4.9884768656539338"/>
    <n v="27"/>
    <n v="10"/>
    <n v="9000"/>
    <n v="3.3136246786632388"/>
    <n v="0"/>
    <n v="10"/>
    <n v="6.9086918387115244"/>
    <x v="2"/>
  </r>
  <r>
    <x v="7"/>
    <n v="2212"/>
    <n v="4.9813624353439687"/>
    <n v="20"/>
    <n v="8"/>
    <n v="8500"/>
    <n v="3.6992287917737787"/>
    <n v="0"/>
    <n v="10"/>
    <n v="6.583322610725145"/>
    <x v="2"/>
  </r>
  <r>
    <x v="8"/>
    <n v="2021"/>
    <n v="4.8231375280461126"/>
    <n v="-2"/>
    <n v="1"/>
    <n v="3800"/>
    <n v="7.3239074550128533"/>
    <n v="0"/>
    <n v="10"/>
    <n v="5.8528796258187104"/>
    <x v="1"/>
  </r>
  <r>
    <x v="9"/>
    <n v="1964"/>
    <n v="4.7730106213558976"/>
    <n v="21"/>
    <n v="8"/>
    <n v="2800"/>
    <n v="8.0951156812339331"/>
    <n v="0"/>
    <n v="10"/>
    <n v="7.3895768537213513"/>
    <x v="0"/>
  </r>
  <r>
    <x v="10"/>
    <n v="1799"/>
    <n v="4.6192578174978989"/>
    <n v="13"/>
    <n v="5"/>
    <n v="4800"/>
    <n v="6.5526992287917736"/>
    <n v="0"/>
    <n v="10"/>
    <n v="6.4272800818826195"/>
    <x v="1"/>
  </r>
  <r>
    <x v="11"/>
    <n v="1463"/>
    <n v="4.2570205564625292"/>
    <n v="18"/>
    <n v="8"/>
    <n v="3500"/>
    <n v="7.5552699228791775"/>
    <n v="15"/>
    <n v="4"/>
    <n v="5.6010111793377204"/>
    <x v="1"/>
  </r>
  <r>
    <x v="12"/>
    <n v="1126"/>
    <n v="3.7982837532294234"/>
    <n v="23"/>
    <n v="8"/>
    <n v="3500"/>
    <n v="7.5552699228791775"/>
    <n v="0"/>
    <n v="10"/>
    <n v="6.9404532982061333"/>
    <x v="2"/>
  </r>
  <r>
    <x v="13"/>
    <n v="559"/>
    <n v="2.5713112513546559"/>
    <n v="28"/>
    <n v="10"/>
    <n v="5500"/>
    <n v="6.012853470437018"/>
    <n v="0"/>
    <n v="10"/>
    <n v="6.6025296320615325"/>
    <x v="2"/>
  </r>
  <r>
    <x v="14"/>
    <n v="228"/>
    <n v="1"/>
    <n v="17"/>
    <n v="8"/>
    <n v="7500"/>
    <n v="4.4704370179948585"/>
    <n v="0"/>
    <n v="10"/>
    <n v="5.344087403598972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0F6A2D-4342-4676-8549-DE5B23F5FAD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78:I88" firstHeaderRow="1" firstDataRow="1" firstDataCol="1"/>
  <pivotFields count="15">
    <pivotField showAll="0"/>
    <pivotField axis="axisRow" showAll="0" sortType="descending">
      <items count="10">
        <item x="8"/>
        <item x="4"/>
        <item x="0"/>
        <item x="2"/>
        <item x="1"/>
        <item x="7"/>
        <item x="5"/>
        <item x="6"/>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
        <item x="1"/>
        <item x="0"/>
        <item t="default"/>
      </items>
    </pivotField>
  </pivotFields>
  <rowFields count="1">
    <field x="1"/>
  </rowFields>
  <rowItems count="10">
    <i>
      <x v="4"/>
    </i>
    <i>
      <x v="7"/>
    </i>
    <i>
      <x v="6"/>
    </i>
    <i>
      <x v="1"/>
    </i>
    <i>
      <x/>
    </i>
    <i>
      <x v="5"/>
    </i>
    <i>
      <x v="8"/>
    </i>
    <i>
      <x v="3"/>
    </i>
    <i>
      <x v="2"/>
    </i>
    <i t="grand">
      <x/>
    </i>
  </rowItems>
  <colItems count="1">
    <i/>
  </colItems>
  <dataFields count="1">
    <dataField name="Average of Concentration of supplying countries" fld="11" subtotal="average" baseField="1" baseItem="0"/>
  </dataFields>
  <formats count="3">
    <format dxfId="63">
      <pivotArea collapsedLevelsAreSubtotals="1" fieldPosition="0">
        <references count="1">
          <reference field="1" count="1">
            <x v="5"/>
          </reference>
        </references>
      </pivotArea>
    </format>
    <format dxfId="62">
      <pivotArea outline="0" collapsedLevelsAreSubtotals="1" fieldPosition="0"/>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98400E-C4CC-495D-A2AE-797EB3BBB81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H64:J74" firstHeaderRow="0" firstDataRow="1" firstDataCol="1"/>
  <pivotFields count="15">
    <pivotField showAll="0"/>
    <pivotField axis="axisRow" showAll="0" sortType="descending">
      <items count="10">
        <item x="8"/>
        <item x="4"/>
        <item x="0"/>
        <item x="2"/>
        <item x="1"/>
        <item x="7"/>
        <item x="5"/>
        <item x="6"/>
        <item x="3"/>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s>
  <rowFields count="1">
    <field x="1"/>
  </rowFields>
  <rowItems count="10">
    <i>
      <x v="2"/>
    </i>
    <i>
      <x v="8"/>
    </i>
    <i>
      <x v="4"/>
    </i>
    <i>
      <x v="6"/>
    </i>
    <i>
      <x v="3"/>
    </i>
    <i>
      <x v="1"/>
    </i>
    <i>
      <x/>
    </i>
    <i>
      <x v="7"/>
    </i>
    <i>
      <x v="5"/>
    </i>
    <i t="grand">
      <x/>
    </i>
  </rowItems>
  <colFields count="1">
    <field x="-2"/>
  </colFields>
  <colItems count="2">
    <i>
      <x/>
    </i>
    <i i="1">
      <x v="1"/>
    </i>
  </colItems>
  <dataFields count="2">
    <dataField name="Average of Annual growth in value between 2020-2024 (%)" fld="6" subtotal="average" baseField="1" baseItem="2"/>
    <dataField name="Sum of Value imported in 2024 (USD thousand)" fld="2" baseField="1" baseItem="2"/>
  </dataFields>
  <formats count="2">
    <format dxfId="65">
      <pivotArea outline="0" collapsedLevelsAreSubtotals="1" fieldPosition="0"/>
    </format>
    <format dxfId="64">
      <pivotArea dataOnly="0" labelOnly="1" outline="0" axis="axisValues" fieldPosition="0"/>
    </format>
  </formats>
  <chartFormats count="7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1" format="24" series="1">
      <pivotArea type="data" outline="0" fieldPosition="0">
        <references count="1">
          <reference field="4294967294" count="1" selected="0">
            <x v="0"/>
          </reference>
        </references>
      </pivotArea>
    </chartFormat>
    <chartFormat chart="21" format="25">
      <pivotArea type="data" outline="0" fieldPosition="0">
        <references count="2">
          <reference field="4294967294" count="1" selected="0">
            <x v="0"/>
          </reference>
          <reference field="1" count="1" selected="0">
            <x v="2"/>
          </reference>
        </references>
      </pivotArea>
    </chartFormat>
    <chartFormat chart="21" format="26">
      <pivotArea type="data" outline="0" fieldPosition="0">
        <references count="2">
          <reference field="4294967294" count="1" selected="0">
            <x v="0"/>
          </reference>
          <reference field="1" count="1" selected="0">
            <x v="8"/>
          </reference>
        </references>
      </pivotArea>
    </chartFormat>
    <chartFormat chart="21" format="27">
      <pivotArea type="data" outline="0" fieldPosition="0">
        <references count="2">
          <reference field="4294967294" count="1" selected="0">
            <x v="0"/>
          </reference>
          <reference field="1" count="1" selected="0">
            <x v="4"/>
          </reference>
        </references>
      </pivotArea>
    </chartFormat>
    <chartFormat chart="21" format="28">
      <pivotArea type="data" outline="0" fieldPosition="0">
        <references count="2">
          <reference field="4294967294" count="1" selected="0">
            <x v="0"/>
          </reference>
          <reference field="1" count="1" selected="0">
            <x v="6"/>
          </reference>
        </references>
      </pivotArea>
    </chartFormat>
    <chartFormat chart="21" format="29">
      <pivotArea type="data" outline="0" fieldPosition="0">
        <references count="2">
          <reference field="4294967294" count="1" selected="0">
            <x v="0"/>
          </reference>
          <reference field="1" count="1" selected="0">
            <x v="3"/>
          </reference>
        </references>
      </pivotArea>
    </chartFormat>
    <chartFormat chart="21" format="30">
      <pivotArea type="data" outline="0" fieldPosition="0">
        <references count="2">
          <reference field="4294967294" count="1" selected="0">
            <x v="0"/>
          </reference>
          <reference field="1" count="1" selected="0">
            <x v="1"/>
          </reference>
        </references>
      </pivotArea>
    </chartFormat>
    <chartFormat chart="21" format="31">
      <pivotArea type="data" outline="0" fieldPosition="0">
        <references count="2">
          <reference field="4294967294" count="1" selected="0">
            <x v="0"/>
          </reference>
          <reference field="1" count="1" selected="0">
            <x v="0"/>
          </reference>
        </references>
      </pivotArea>
    </chartFormat>
    <chartFormat chart="21" format="32">
      <pivotArea type="data" outline="0" fieldPosition="0">
        <references count="2">
          <reference field="4294967294" count="1" selected="0">
            <x v="0"/>
          </reference>
          <reference field="1" count="1" selected="0">
            <x v="7"/>
          </reference>
        </references>
      </pivotArea>
    </chartFormat>
    <chartFormat chart="21" format="33">
      <pivotArea type="data" outline="0" fieldPosition="0">
        <references count="2">
          <reference field="4294967294" count="1" selected="0">
            <x v="0"/>
          </reference>
          <reference field="1" count="1" selected="0">
            <x v="5"/>
          </reference>
        </references>
      </pivotArea>
    </chartFormat>
    <chartFormat chart="21" format="34" series="1">
      <pivotArea type="data" outline="0" fieldPosition="0">
        <references count="1">
          <reference field="4294967294" count="1" selected="0">
            <x v="1"/>
          </reference>
        </references>
      </pivotArea>
    </chartFormat>
    <chartFormat chart="21" format="35">
      <pivotArea type="data" outline="0" fieldPosition="0">
        <references count="2">
          <reference field="4294967294" count="1" selected="0">
            <x v="1"/>
          </reference>
          <reference field="1" count="1" selected="0">
            <x v="2"/>
          </reference>
        </references>
      </pivotArea>
    </chartFormat>
    <chartFormat chart="21" format="36">
      <pivotArea type="data" outline="0" fieldPosition="0">
        <references count="2">
          <reference field="4294967294" count="1" selected="0">
            <x v="1"/>
          </reference>
          <reference field="1" count="1" selected="0">
            <x v="8"/>
          </reference>
        </references>
      </pivotArea>
    </chartFormat>
    <chartFormat chart="21" format="37">
      <pivotArea type="data" outline="0" fieldPosition="0">
        <references count="2">
          <reference field="4294967294" count="1" selected="0">
            <x v="1"/>
          </reference>
          <reference field="1" count="1" selected="0">
            <x v="4"/>
          </reference>
        </references>
      </pivotArea>
    </chartFormat>
    <chartFormat chart="21" format="38">
      <pivotArea type="data" outline="0" fieldPosition="0">
        <references count="2">
          <reference field="4294967294" count="1" selected="0">
            <x v="1"/>
          </reference>
          <reference field="1" count="1" selected="0">
            <x v="6"/>
          </reference>
        </references>
      </pivotArea>
    </chartFormat>
    <chartFormat chart="21" format="39">
      <pivotArea type="data" outline="0" fieldPosition="0">
        <references count="2">
          <reference field="4294967294" count="1" selected="0">
            <x v="1"/>
          </reference>
          <reference field="1" count="1" selected="0">
            <x v="3"/>
          </reference>
        </references>
      </pivotArea>
    </chartFormat>
    <chartFormat chart="21" format="40">
      <pivotArea type="data" outline="0" fieldPosition="0">
        <references count="2">
          <reference field="4294967294" count="1" selected="0">
            <x v="1"/>
          </reference>
          <reference field="1" count="1" selected="0">
            <x v="1"/>
          </reference>
        </references>
      </pivotArea>
    </chartFormat>
    <chartFormat chart="21" format="41">
      <pivotArea type="data" outline="0" fieldPosition="0">
        <references count="2">
          <reference field="4294967294" count="1" selected="0">
            <x v="1"/>
          </reference>
          <reference field="1" count="1" selected="0">
            <x v="0"/>
          </reference>
        </references>
      </pivotArea>
    </chartFormat>
    <chartFormat chart="21" format="42">
      <pivotArea type="data" outline="0" fieldPosition="0">
        <references count="2">
          <reference field="4294967294" count="1" selected="0">
            <x v="1"/>
          </reference>
          <reference field="1" count="1" selected="0">
            <x v="7"/>
          </reference>
        </references>
      </pivotArea>
    </chartFormat>
    <chartFormat chart="21" format="43">
      <pivotArea type="data" outline="0" fieldPosition="0">
        <references count="2">
          <reference field="4294967294" count="1" selected="0">
            <x v="1"/>
          </reference>
          <reference field="1" count="1" selected="0">
            <x v="5"/>
          </reference>
        </references>
      </pivotArea>
    </chartFormat>
    <chartFormat chart="22" format="44" series="1">
      <pivotArea type="data" outline="0" fieldPosition="0">
        <references count="1">
          <reference field="4294967294" count="1" selected="0">
            <x v="0"/>
          </reference>
        </references>
      </pivotArea>
    </chartFormat>
    <chartFormat chart="22" format="45">
      <pivotArea type="data" outline="0" fieldPosition="0">
        <references count="2">
          <reference field="4294967294" count="1" selected="0">
            <x v="0"/>
          </reference>
          <reference field="1" count="1" selected="0">
            <x v="2"/>
          </reference>
        </references>
      </pivotArea>
    </chartFormat>
    <chartFormat chart="22" format="46">
      <pivotArea type="data" outline="0" fieldPosition="0">
        <references count="2">
          <reference field="4294967294" count="1" selected="0">
            <x v="0"/>
          </reference>
          <reference field="1" count="1" selected="0">
            <x v="8"/>
          </reference>
        </references>
      </pivotArea>
    </chartFormat>
    <chartFormat chart="22" format="47">
      <pivotArea type="data" outline="0" fieldPosition="0">
        <references count="2">
          <reference field="4294967294" count="1" selected="0">
            <x v="0"/>
          </reference>
          <reference field="1" count="1" selected="0">
            <x v="4"/>
          </reference>
        </references>
      </pivotArea>
    </chartFormat>
    <chartFormat chart="22" format="48">
      <pivotArea type="data" outline="0" fieldPosition="0">
        <references count="2">
          <reference field="4294967294" count="1" selected="0">
            <x v="0"/>
          </reference>
          <reference field="1" count="1" selected="0">
            <x v="6"/>
          </reference>
        </references>
      </pivotArea>
    </chartFormat>
    <chartFormat chart="22" format="49">
      <pivotArea type="data" outline="0" fieldPosition="0">
        <references count="2">
          <reference field="4294967294" count="1" selected="0">
            <x v="0"/>
          </reference>
          <reference field="1" count="1" selected="0">
            <x v="3"/>
          </reference>
        </references>
      </pivotArea>
    </chartFormat>
    <chartFormat chart="22" format="50">
      <pivotArea type="data" outline="0" fieldPosition="0">
        <references count="2">
          <reference field="4294967294" count="1" selected="0">
            <x v="0"/>
          </reference>
          <reference field="1" count="1" selected="0">
            <x v="1"/>
          </reference>
        </references>
      </pivotArea>
    </chartFormat>
    <chartFormat chart="22" format="51">
      <pivotArea type="data" outline="0" fieldPosition="0">
        <references count="2">
          <reference field="4294967294" count="1" selected="0">
            <x v="0"/>
          </reference>
          <reference field="1" count="1" selected="0">
            <x v="0"/>
          </reference>
        </references>
      </pivotArea>
    </chartFormat>
    <chartFormat chart="22" format="52">
      <pivotArea type="data" outline="0" fieldPosition="0">
        <references count="2">
          <reference field="4294967294" count="1" selected="0">
            <x v="0"/>
          </reference>
          <reference field="1" count="1" selected="0">
            <x v="7"/>
          </reference>
        </references>
      </pivotArea>
    </chartFormat>
    <chartFormat chart="22" format="53">
      <pivotArea type="data" outline="0" fieldPosition="0">
        <references count="2">
          <reference field="4294967294" count="1" selected="0">
            <x v="0"/>
          </reference>
          <reference field="1" count="1" selected="0">
            <x v="5"/>
          </reference>
        </references>
      </pivotArea>
    </chartFormat>
    <chartFormat chart="22" format="54" series="1">
      <pivotArea type="data" outline="0" fieldPosition="0">
        <references count="1">
          <reference field="4294967294" count="1" selected="0">
            <x v="1"/>
          </reference>
        </references>
      </pivotArea>
    </chartFormat>
    <chartFormat chart="22" format="55">
      <pivotArea type="data" outline="0" fieldPosition="0">
        <references count="2">
          <reference field="4294967294" count="1" selected="0">
            <x v="1"/>
          </reference>
          <reference field="1" count="1" selected="0">
            <x v="2"/>
          </reference>
        </references>
      </pivotArea>
    </chartFormat>
    <chartFormat chart="22" format="56">
      <pivotArea type="data" outline="0" fieldPosition="0">
        <references count="2">
          <reference field="4294967294" count="1" selected="0">
            <x v="1"/>
          </reference>
          <reference field="1" count="1" selected="0">
            <x v="8"/>
          </reference>
        </references>
      </pivotArea>
    </chartFormat>
    <chartFormat chart="22" format="57">
      <pivotArea type="data" outline="0" fieldPosition="0">
        <references count="2">
          <reference field="4294967294" count="1" selected="0">
            <x v="1"/>
          </reference>
          <reference field="1" count="1" selected="0">
            <x v="4"/>
          </reference>
        </references>
      </pivotArea>
    </chartFormat>
    <chartFormat chart="22" format="58">
      <pivotArea type="data" outline="0" fieldPosition="0">
        <references count="2">
          <reference field="4294967294" count="1" selected="0">
            <x v="1"/>
          </reference>
          <reference field="1" count="1" selected="0">
            <x v="6"/>
          </reference>
        </references>
      </pivotArea>
    </chartFormat>
    <chartFormat chart="22" format="59">
      <pivotArea type="data" outline="0" fieldPosition="0">
        <references count="2">
          <reference field="4294967294" count="1" selected="0">
            <x v="1"/>
          </reference>
          <reference field="1" count="1" selected="0">
            <x v="3"/>
          </reference>
        </references>
      </pivotArea>
    </chartFormat>
    <chartFormat chart="22" format="60">
      <pivotArea type="data" outline="0" fieldPosition="0">
        <references count="2">
          <reference field="4294967294" count="1" selected="0">
            <x v="1"/>
          </reference>
          <reference field="1" count="1" selected="0">
            <x v="1"/>
          </reference>
        </references>
      </pivotArea>
    </chartFormat>
    <chartFormat chart="22" format="61">
      <pivotArea type="data" outline="0" fieldPosition="0">
        <references count="2">
          <reference field="4294967294" count="1" selected="0">
            <x v="1"/>
          </reference>
          <reference field="1" count="1" selected="0">
            <x v="0"/>
          </reference>
        </references>
      </pivotArea>
    </chartFormat>
    <chartFormat chart="22" format="62">
      <pivotArea type="data" outline="0" fieldPosition="0">
        <references count="2">
          <reference field="4294967294" count="1" selected="0">
            <x v="1"/>
          </reference>
          <reference field="1" count="1" selected="0">
            <x v="7"/>
          </reference>
        </references>
      </pivotArea>
    </chartFormat>
    <chartFormat chart="22" format="63">
      <pivotArea type="data" outline="0" fieldPosition="0">
        <references count="2">
          <reference field="4294967294" count="1" selected="0">
            <x v="1"/>
          </reference>
          <reference field="1" count="1" selected="0">
            <x v="5"/>
          </reference>
        </references>
      </pivotArea>
    </chartFormat>
    <chartFormat chart="23" format="44" series="1">
      <pivotArea type="data" outline="0" fieldPosition="0">
        <references count="1">
          <reference field="4294967294" count="1" selected="0">
            <x v="0"/>
          </reference>
        </references>
      </pivotArea>
    </chartFormat>
    <chartFormat chart="23" format="45">
      <pivotArea type="data" outline="0" fieldPosition="0">
        <references count="2">
          <reference field="4294967294" count="1" selected="0">
            <x v="0"/>
          </reference>
          <reference field="1" count="1" selected="0">
            <x v="2"/>
          </reference>
        </references>
      </pivotArea>
    </chartFormat>
    <chartFormat chart="23" format="46">
      <pivotArea type="data" outline="0" fieldPosition="0">
        <references count="2">
          <reference field="4294967294" count="1" selected="0">
            <x v="0"/>
          </reference>
          <reference field="1" count="1" selected="0">
            <x v="8"/>
          </reference>
        </references>
      </pivotArea>
    </chartFormat>
    <chartFormat chart="23" format="47">
      <pivotArea type="data" outline="0" fieldPosition="0">
        <references count="2">
          <reference field="4294967294" count="1" selected="0">
            <x v="0"/>
          </reference>
          <reference field="1" count="1" selected="0">
            <x v="4"/>
          </reference>
        </references>
      </pivotArea>
    </chartFormat>
    <chartFormat chart="23" format="48">
      <pivotArea type="data" outline="0" fieldPosition="0">
        <references count="2">
          <reference field="4294967294" count="1" selected="0">
            <x v="0"/>
          </reference>
          <reference field="1" count="1" selected="0">
            <x v="6"/>
          </reference>
        </references>
      </pivotArea>
    </chartFormat>
    <chartFormat chart="23" format="49">
      <pivotArea type="data" outline="0" fieldPosition="0">
        <references count="2">
          <reference field="4294967294" count="1" selected="0">
            <x v="0"/>
          </reference>
          <reference field="1" count="1" selected="0">
            <x v="3"/>
          </reference>
        </references>
      </pivotArea>
    </chartFormat>
    <chartFormat chart="23" format="50">
      <pivotArea type="data" outline="0" fieldPosition="0">
        <references count="2">
          <reference field="4294967294" count="1" selected="0">
            <x v="0"/>
          </reference>
          <reference field="1" count="1" selected="0">
            <x v="1"/>
          </reference>
        </references>
      </pivotArea>
    </chartFormat>
    <chartFormat chart="23" format="51">
      <pivotArea type="data" outline="0" fieldPosition="0">
        <references count="2">
          <reference field="4294967294" count="1" selected="0">
            <x v="0"/>
          </reference>
          <reference field="1" count="1" selected="0">
            <x v="0"/>
          </reference>
        </references>
      </pivotArea>
    </chartFormat>
    <chartFormat chart="23" format="52">
      <pivotArea type="data" outline="0" fieldPosition="0">
        <references count="2">
          <reference field="4294967294" count="1" selected="0">
            <x v="0"/>
          </reference>
          <reference field="1" count="1" selected="0">
            <x v="7"/>
          </reference>
        </references>
      </pivotArea>
    </chartFormat>
    <chartFormat chart="23" format="53">
      <pivotArea type="data" outline="0" fieldPosition="0">
        <references count="2">
          <reference field="4294967294" count="1" selected="0">
            <x v="0"/>
          </reference>
          <reference field="1" count="1" selected="0">
            <x v="5"/>
          </reference>
        </references>
      </pivotArea>
    </chartFormat>
    <chartFormat chart="23" format="54" series="1">
      <pivotArea type="data" outline="0" fieldPosition="0">
        <references count="1">
          <reference field="4294967294" count="1" selected="0">
            <x v="1"/>
          </reference>
        </references>
      </pivotArea>
    </chartFormat>
    <chartFormat chart="23" format="55">
      <pivotArea type="data" outline="0" fieldPosition="0">
        <references count="2">
          <reference field="4294967294" count="1" selected="0">
            <x v="1"/>
          </reference>
          <reference field="1" count="1" selected="0">
            <x v="2"/>
          </reference>
        </references>
      </pivotArea>
    </chartFormat>
    <chartFormat chart="23" format="56">
      <pivotArea type="data" outline="0" fieldPosition="0">
        <references count="2">
          <reference field="4294967294" count="1" selected="0">
            <x v="1"/>
          </reference>
          <reference field="1" count="1" selected="0">
            <x v="8"/>
          </reference>
        </references>
      </pivotArea>
    </chartFormat>
    <chartFormat chart="23" format="57">
      <pivotArea type="data" outline="0" fieldPosition="0">
        <references count="2">
          <reference field="4294967294" count="1" selected="0">
            <x v="1"/>
          </reference>
          <reference field="1" count="1" selected="0">
            <x v="4"/>
          </reference>
        </references>
      </pivotArea>
    </chartFormat>
    <chartFormat chart="23" format="58">
      <pivotArea type="data" outline="0" fieldPosition="0">
        <references count="2">
          <reference field="4294967294" count="1" selected="0">
            <x v="1"/>
          </reference>
          <reference field="1" count="1" selected="0">
            <x v="6"/>
          </reference>
        </references>
      </pivotArea>
    </chartFormat>
    <chartFormat chart="23" format="59">
      <pivotArea type="data" outline="0" fieldPosition="0">
        <references count="2">
          <reference field="4294967294" count="1" selected="0">
            <x v="1"/>
          </reference>
          <reference field="1" count="1" selected="0">
            <x v="3"/>
          </reference>
        </references>
      </pivotArea>
    </chartFormat>
    <chartFormat chart="23" format="60">
      <pivotArea type="data" outline="0" fieldPosition="0">
        <references count="2">
          <reference field="4294967294" count="1" selected="0">
            <x v="1"/>
          </reference>
          <reference field="1" count="1" selected="0">
            <x v="1"/>
          </reference>
        </references>
      </pivotArea>
    </chartFormat>
    <chartFormat chart="23" format="61">
      <pivotArea type="data" outline="0" fieldPosition="0">
        <references count="2">
          <reference field="4294967294" count="1" selected="0">
            <x v="1"/>
          </reference>
          <reference field="1" count="1" selected="0">
            <x v="0"/>
          </reference>
        </references>
      </pivotArea>
    </chartFormat>
    <chartFormat chart="23" format="62">
      <pivotArea type="data" outline="0" fieldPosition="0">
        <references count="2">
          <reference field="4294967294" count="1" selected="0">
            <x v="1"/>
          </reference>
          <reference field="1" count="1" selected="0">
            <x v="7"/>
          </reference>
        </references>
      </pivotArea>
    </chartFormat>
    <chartFormat chart="23" format="63">
      <pivotArea type="data" outline="0" fieldPosition="0">
        <references count="2">
          <reference field="4294967294" count="1" selected="0">
            <x v="1"/>
          </reference>
          <reference field="1" count="1" selected="0">
            <x v="5"/>
          </reference>
        </references>
      </pivotArea>
    </chartFormat>
    <chartFormat chart="44" format="76" series="1">
      <pivotArea type="data" outline="0" fieldPosition="0">
        <references count="1">
          <reference field="4294967294" count="1" selected="0">
            <x v="1"/>
          </reference>
        </references>
      </pivotArea>
    </chartFormat>
    <chartFormat chart="44" format="77">
      <pivotArea type="data" outline="0" fieldPosition="0">
        <references count="2">
          <reference field="4294967294" count="1" selected="0">
            <x v="1"/>
          </reference>
          <reference field="1" count="1" selected="0">
            <x v="5"/>
          </reference>
        </references>
      </pivotArea>
    </chartFormat>
    <chartFormat chart="44" format="78" series="1">
      <pivotArea type="data" outline="0" fieldPosition="0">
        <references count="1">
          <reference field="4294967294" count="1" selected="0">
            <x v="0"/>
          </reference>
        </references>
      </pivotArea>
    </chartFormat>
    <chartFormat chart="44" format="79">
      <pivotArea type="data" outline="0" fieldPosition="0">
        <references count="2">
          <reference field="4294967294" count="1" selected="0">
            <x v="0"/>
          </reference>
          <reference field="1" count="1" selected="0">
            <x v="2"/>
          </reference>
        </references>
      </pivotArea>
    </chartFormat>
    <chartFormat chart="44" format="80">
      <pivotArea type="data" outline="0" fieldPosition="0">
        <references count="2">
          <reference field="4294967294" count="1" selected="0">
            <x v="0"/>
          </reference>
          <reference field="1" count="1" selected="0">
            <x v="8"/>
          </reference>
        </references>
      </pivotArea>
    </chartFormat>
    <chartFormat chart="44" format="81">
      <pivotArea type="data" outline="0" fieldPosition="0">
        <references count="2">
          <reference field="4294967294" count="1" selected="0">
            <x v="0"/>
          </reference>
          <reference field="1" count="1" selected="0">
            <x v="4"/>
          </reference>
        </references>
      </pivotArea>
    </chartFormat>
    <chartFormat chart="44" format="82">
      <pivotArea type="data" outline="0" fieldPosition="0">
        <references count="2">
          <reference field="4294967294" count="1" selected="0">
            <x v="0"/>
          </reference>
          <reference field="1" count="1" selected="0">
            <x v="6"/>
          </reference>
        </references>
      </pivotArea>
    </chartFormat>
    <chartFormat chart="44" format="83">
      <pivotArea type="data" outline="0" fieldPosition="0">
        <references count="2">
          <reference field="4294967294" count="1" selected="0">
            <x v="0"/>
          </reference>
          <reference field="1" count="1" selected="0">
            <x v="3"/>
          </reference>
        </references>
      </pivotArea>
    </chartFormat>
    <chartFormat chart="44" format="84">
      <pivotArea type="data" outline="0" fieldPosition="0">
        <references count="2">
          <reference field="4294967294" count="1" selected="0">
            <x v="0"/>
          </reference>
          <reference field="1" count="1" selected="0">
            <x v="1"/>
          </reference>
        </references>
      </pivotArea>
    </chartFormat>
    <chartFormat chart="44" format="85">
      <pivotArea type="data" outline="0" fieldPosition="0">
        <references count="2">
          <reference field="4294967294" count="1" selected="0">
            <x v="0"/>
          </reference>
          <reference field="1" count="1" selected="0">
            <x v="0"/>
          </reference>
        </references>
      </pivotArea>
    </chartFormat>
    <chartFormat chart="44" format="86">
      <pivotArea type="data" outline="0" fieldPosition="0">
        <references count="2">
          <reference field="4294967294" count="1" selected="0">
            <x v="0"/>
          </reference>
          <reference field="1" count="1" selected="0">
            <x v="7"/>
          </reference>
        </references>
      </pivotArea>
    </chartFormat>
    <chartFormat chart="44" format="87">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10B452-AC6C-4A70-BB8C-27820262F8E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6">
  <location ref="H3:I14" firstHeaderRow="1" firstDataRow="1" firstDataCol="1"/>
  <pivotFields count="15">
    <pivotField axis="axisRow" showAll="0" measureFilter="1" sortType="descending">
      <items count="171">
        <item x="123"/>
        <item x="133"/>
        <item x="68"/>
        <item x="164"/>
        <item x="102"/>
        <item x="156"/>
        <item x="20"/>
        <item x="117"/>
        <item x="142"/>
        <item x="34"/>
        <item x="9"/>
        <item x="81"/>
        <item x="145"/>
        <item x="83"/>
        <item x="113"/>
        <item x="122"/>
        <item x="70"/>
        <item x="8"/>
        <item x="141"/>
        <item x="138"/>
        <item x="148"/>
        <item x="155"/>
        <item x="89"/>
        <item x="116"/>
        <item x="140"/>
        <item x="86"/>
        <item x="165"/>
        <item x="88"/>
        <item x="72"/>
        <item x="147"/>
        <item x="160"/>
        <item x="54"/>
        <item x="163"/>
        <item x="28"/>
        <item x="16"/>
        <item x="22"/>
        <item x="27"/>
        <item x="136"/>
        <item x="62"/>
        <item x="76"/>
        <item x="96"/>
        <item x="91"/>
        <item x="137"/>
        <item x="168"/>
        <item x="119"/>
        <item x="18"/>
        <item x="56"/>
        <item x="135"/>
        <item x="74"/>
        <item x="31"/>
        <item x="48"/>
        <item x="58"/>
        <item x="162"/>
        <item x="37"/>
        <item x="100"/>
        <item x="130"/>
        <item x="128"/>
        <item x="47"/>
        <item x="3"/>
        <item x="152"/>
        <item x="157"/>
        <item x="111"/>
        <item x="0"/>
        <item x="45"/>
        <item x="64"/>
        <item x="158"/>
        <item x="46"/>
        <item x="55"/>
        <item x="139"/>
        <item x="161"/>
        <item x="109"/>
        <item x="97"/>
        <item x="38"/>
        <item x="115"/>
        <item x="21"/>
        <item x="13"/>
        <item x="78"/>
        <item x="92"/>
        <item x="11"/>
        <item x="4"/>
        <item x="2"/>
        <item x="112"/>
        <item x="30"/>
        <item x="35"/>
        <item x="42"/>
        <item x="69"/>
        <item x="153"/>
        <item x="71"/>
        <item x="99"/>
        <item x="93"/>
        <item x="50"/>
        <item x="105"/>
        <item x="118"/>
        <item x="146"/>
        <item x="101"/>
        <item x="85"/>
        <item x="124"/>
        <item x="125"/>
        <item x="114"/>
        <item x="121"/>
        <item x="26"/>
        <item x="159"/>
        <item x="94"/>
        <item x="143"/>
        <item x="166"/>
        <item x="87"/>
        <item x="12"/>
        <item x="110"/>
        <item x="127"/>
        <item x="126"/>
        <item x="67"/>
        <item x="132"/>
        <item x="106"/>
        <item x="95"/>
        <item x="103"/>
        <item x="10"/>
        <item x="167"/>
        <item x="59"/>
        <item x="90"/>
        <item x="44"/>
        <item x="39"/>
        <item x="104"/>
        <item x="43"/>
        <item x="80"/>
        <item x="66"/>
        <item x="77"/>
        <item x="19"/>
        <item x="33"/>
        <item x="29"/>
        <item x="14"/>
        <item x="107"/>
        <item x="65"/>
        <item x="32"/>
        <item x="134"/>
        <item x="169"/>
        <item x="57"/>
        <item x="84"/>
        <item x="60"/>
        <item x="154"/>
        <item x="15"/>
        <item x="36"/>
        <item x="73"/>
        <item x="150"/>
        <item x="41"/>
        <item x="17"/>
        <item x="79"/>
        <item x="149"/>
        <item x="151"/>
        <item x="23"/>
        <item x="24"/>
        <item x="144"/>
        <item x="6"/>
        <item x="131"/>
        <item x="49"/>
        <item x="61"/>
        <item x="120"/>
        <item x="75"/>
        <item x="25"/>
        <item x="52"/>
        <item x="98"/>
        <item x="53"/>
        <item x="51"/>
        <item x="7"/>
        <item x="1"/>
        <item x="82"/>
        <item x="40"/>
        <item x="108"/>
        <item x="5"/>
        <item x="129"/>
        <item x="63"/>
        <item t="default"/>
      </items>
      <autoSortScope>
        <pivotArea dataOnly="0" outline="0" fieldPosition="0">
          <references count="1">
            <reference field="4294967294" count="1" selected="0">
              <x v="0"/>
            </reference>
          </references>
        </pivotArea>
      </autoSortScope>
    </pivotField>
    <pivotField showAll="0">
      <items count="10">
        <item x="8"/>
        <item x="4"/>
        <item x="0"/>
        <item x="2"/>
        <item x="1"/>
        <item x="7"/>
        <item x="5"/>
        <item x="6"/>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0"/>
  </rowFields>
  <rowItems count="11">
    <i>
      <x v="62"/>
    </i>
    <i>
      <x v="163"/>
    </i>
    <i>
      <x v="80"/>
    </i>
    <i>
      <x v="58"/>
    </i>
    <i>
      <x v="79"/>
    </i>
    <i>
      <x v="167"/>
    </i>
    <i>
      <x v="151"/>
    </i>
    <i>
      <x v="162"/>
    </i>
    <i>
      <x v="17"/>
    </i>
    <i>
      <x v="10"/>
    </i>
    <i t="grand">
      <x/>
    </i>
  </rowItems>
  <colItems count="1">
    <i/>
  </colItems>
  <dataFields count="1">
    <dataField name="Sum of Value imported in 2024 (USD thousand)" fld="2" baseField="0" baseItem="0"/>
  </dataFields>
  <chartFormats count="24">
    <chartFormat chart="21" format="11" series="1">
      <pivotArea type="data" outline="0" fieldPosition="0">
        <references count="1">
          <reference field="4294967294" count="1" selected="0">
            <x v="0"/>
          </reference>
        </references>
      </pivotArea>
    </chartFormat>
    <chartFormat chart="21" format="12">
      <pivotArea type="data" outline="0" fieldPosition="0">
        <references count="2">
          <reference field="4294967294" count="1" selected="0">
            <x v="0"/>
          </reference>
          <reference field="0" count="1" selected="0">
            <x v="62"/>
          </reference>
        </references>
      </pivotArea>
    </chartFormat>
    <chartFormat chart="21" format="13">
      <pivotArea type="data" outline="0" fieldPosition="0">
        <references count="2">
          <reference field="4294967294" count="1" selected="0">
            <x v="0"/>
          </reference>
          <reference field="0" count="1" selected="0">
            <x v="163"/>
          </reference>
        </references>
      </pivotArea>
    </chartFormat>
    <chartFormat chart="21" format="14">
      <pivotArea type="data" outline="0" fieldPosition="0">
        <references count="2">
          <reference field="4294967294" count="1" selected="0">
            <x v="0"/>
          </reference>
          <reference field="0" count="1" selected="0">
            <x v="80"/>
          </reference>
        </references>
      </pivotArea>
    </chartFormat>
    <chartFormat chart="21" format="15">
      <pivotArea type="data" outline="0" fieldPosition="0">
        <references count="2">
          <reference field="4294967294" count="1" selected="0">
            <x v="0"/>
          </reference>
          <reference field="0" count="1" selected="0">
            <x v="58"/>
          </reference>
        </references>
      </pivotArea>
    </chartFormat>
    <chartFormat chart="21" format="16">
      <pivotArea type="data" outline="0" fieldPosition="0">
        <references count="2">
          <reference field="4294967294" count="1" selected="0">
            <x v="0"/>
          </reference>
          <reference field="0" count="1" selected="0">
            <x v="79"/>
          </reference>
        </references>
      </pivotArea>
    </chartFormat>
    <chartFormat chart="21" format="17">
      <pivotArea type="data" outline="0" fieldPosition="0">
        <references count="2">
          <reference field="4294967294" count="1" selected="0">
            <x v="0"/>
          </reference>
          <reference field="0" count="1" selected="0">
            <x v="167"/>
          </reference>
        </references>
      </pivotArea>
    </chartFormat>
    <chartFormat chart="21" format="18">
      <pivotArea type="data" outline="0" fieldPosition="0">
        <references count="2">
          <reference field="4294967294" count="1" selected="0">
            <x v="0"/>
          </reference>
          <reference field="0" count="1" selected="0">
            <x v="151"/>
          </reference>
        </references>
      </pivotArea>
    </chartFormat>
    <chartFormat chart="21" format="19">
      <pivotArea type="data" outline="0" fieldPosition="0">
        <references count="2">
          <reference field="4294967294" count="1" selected="0">
            <x v="0"/>
          </reference>
          <reference field="0" count="1" selected="0">
            <x v="162"/>
          </reference>
        </references>
      </pivotArea>
    </chartFormat>
    <chartFormat chart="21" format="20">
      <pivotArea type="data" outline="0" fieldPosition="0">
        <references count="2">
          <reference field="4294967294" count="1" selected="0">
            <x v="0"/>
          </reference>
          <reference field="0" count="1" selected="0">
            <x v="17"/>
          </reference>
        </references>
      </pivotArea>
    </chartFormat>
    <chartFormat chart="21" format="21">
      <pivotArea type="data" outline="0" fieldPosition="0">
        <references count="2">
          <reference field="4294967294" count="1" selected="0">
            <x v="0"/>
          </reference>
          <reference field="0" count="1" selected="0">
            <x v="10"/>
          </reference>
        </references>
      </pivotArea>
    </chartFormat>
    <chartFormat chart="22" format="22" series="1">
      <pivotArea type="data" outline="0" fieldPosition="0">
        <references count="1">
          <reference field="4294967294" count="1" selected="0">
            <x v="0"/>
          </reference>
        </references>
      </pivotArea>
    </chartFormat>
    <chartFormat chart="22" format="23">
      <pivotArea type="data" outline="0" fieldPosition="0">
        <references count="2">
          <reference field="4294967294" count="1" selected="0">
            <x v="0"/>
          </reference>
          <reference field="0" count="1" selected="0">
            <x v="62"/>
          </reference>
        </references>
      </pivotArea>
    </chartFormat>
    <chartFormat chart="22" format="24">
      <pivotArea type="data" outline="0" fieldPosition="0">
        <references count="2">
          <reference field="4294967294" count="1" selected="0">
            <x v="0"/>
          </reference>
          <reference field="0" count="1" selected="0">
            <x v="163"/>
          </reference>
        </references>
      </pivotArea>
    </chartFormat>
    <chartFormat chart="22" format="25">
      <pivotArea type="data" outline="0" fieldPosition="0">
        <references count="2">
          <reference field="4294967294" count="1" selected="0">
            <x v="0"/>
          </reference>
          <reference field="0" count="1" selected="0">
            <x v="80"/>
          </reference>
        </references>
      </pivotArea>
    </chartFormat>
    <chartFormat chart="22" format="26">
      <pivotArea type="data" outline="0" fieldPosition="0">
        <references count="2">
          <reference field="4294967294" count="1" selected="0">
            <x v="0"/>
          </reference>
          <reference field="0" count="1" selected="0">
            <x v="58"/>
          </reference>
        </references>
      </pivotArea>
    </chartFormat>
    <chartFormat chart="22" format="27">
      <pivotArea type="data" outline="0" fieldPosition="0">
        <references count="2">
          <reference field="4294967294" count="1" selected="0">
            <x v="0"/>
          </reference>
          <reference field="0" count="1" selected="0">
            <x v="79"/>
          </reference>
        </references>
      </pivotArea>
    </chartFormat>
    <chartFormat chart="22" format="28">
      <pivotArea type="data" outline="0" fieldPosition="0">
        <references count="2">
          <reference field="4294967294" count="1" selected="0">
            <x v="0"/>
          </reference>
          <reference field="0" count="1" selected="0">
            <x v="167"/>
          </reference>
        </references>
      </pivotArea>
    </chartFormat>
    <chartFormat chart="22" format="29">
      <pivotArea type="data" outline="0" fieldPosition="0">
        <references count="2">
          <reference field="4294967294" count="1" selected="0">
            <x v="0"/>
          </reference>
          <reference field="0" count="1" selected="0">
            <x v="151"/>
          </reference>
        </references>
      </pivotArea>
    </chartFormat>
    <chartFormat chart="22" format="30">
      <pivotArea type="data" outline="0" fieldPosition="0">
        <references count="2">
          <reference field="4294967294" count="1" selected="0">
            <x v="0"/>
          </reference>
          <reference field="0" count="1" selected="0">
            <x v="162"/>
          </reference>
        </references>
      </pivotArea>
    </chartFormat>
    <chartFormat chart="22" format="31">
      <pivotArea type="data" outline="0" fieldPosition="0">
        <references count="2">
          <reference field="4294967294" count="1" selected="0">
            <x v="0"/>
          </reference>
          <reference field="0" count="1" selected="0">
            <x v="17"/>
          </reference>
        </references>
      </pivotArea>
    </chartFormat>
    <chartFormat chart="22" format="32">
      <pivotArea type="data" outline="0" fieldPosition="0">
        <references count="2">
          <reference field="4294967294" count="1" selected="0">
            <x v="0"/>
          </reference>
          <reference field="0" count="1" selected="0">
            <x v="10"/>
          </reference>
        </references>
      </pivotArea>
    </chartFormat>
    <chartFormat chart="66" format="0" series="1">
      <pivotArea type="data" outline="0" fieldPosition="0">
        <references count="1">
          <reference field="4294967294" count="1" selected="0">
            <x v="0"/>
          </reference>
        </references>
      </pivotArea>
    </chartFormat>
    <chartFormat chart="10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68133C-479D-4EF5-B8AA-BF39EFC66FB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6">
  <location ref="H19:I31" firstHeaderRow="1" firstDataRow="1" firstDataCol="1"/>
  <pivotFields count="15">
    <pivotField axis="axisRow" showAll="0" measureFilter="1" sortType="descending">
      <items count="171">
        <item x="123"/>
        <item x="133"/>
        <item x="68"/>
        <item x="164"/>
        <item x="102"/>
        <item x="156"/>
        <item x="20"/>
        <item x="117"/>
        <item x="142"/>
        <item x="34"/>
        <item x="9"/>
        <item x="81"/>
        <item x="145"/>
        <item x="83"/>
        <item x="113"/>
        <item x="122"/>
        <item x="70"/>
        <item x="8"/>
        <item x="141"/>
        <item x="138"/>
        <item x="148"/>
        <item x="155"/>
        <item x="89"/>
        <item x="116"/>
        <item x="140"/>
        <item x="86"/>
        <item x="165"/>
        <item x="88"/>
        <item x="72"/>
        <item x="147"/>
        <item x="160"/>
        <item x="54"/>
        <item x="163"/>
        <item x="28"/>
        <item x="16"/>
        <item x="22"/>
        <item x="27"/>
        <item x="136"/>
        <item x="62"/>
        <item x="76"/>
        <item x="96"/>
        <item x="91"/>
        <item x="137"/>
        <item x="168"/>
        <item x="119"/>
        <item x="18"/>
        <item x="56"/>
        <item x="135"/>
        <item x="74"/>
        <item x="31"/>
        <item x="48"/>
        <item x="58"/>
        <item x="162"/>
        <item x="37"/>
        <item x="100"/>
        <item x="130"/>
        <item x="128"/>
        <item x="47"/>
        <item x="3"/>
        <item x="152"/>
        <item x="157"/>
        <item x="111"/>
        <item x="0"/>
        <item x="45"/>
        <item x="64"/>
        <item x="158"/>
        <item x="46"/>
        <item x="55"/>
        <item x="139"/>
        <item x="161"/>
        <item x="109"/>
        <item x="97"/>
        <item x="38"/>
        <item x="115"/>
        <item x="21"/>
        <item x="13"/>
        <item x="78"/>
        <item x="92"/>
        <item x="11"/>
        <item x="4"/>
        <item x="2"/>
        <item x="112"/>
        <item x="30"/>
        <item x="35"/>
        <item x="42"/>
        <item x="69"/>
        <item x="153"/>
        <item x="71"/>
        <item x="99"/>
        <item x="93"/>
        <item x="50"/>
        <item x="105"/>
        <item x="118"/>
        <item x="146"/>
        <item x="101"/>
        <item x="85"/>
        <item x="124"/>
        <item x="125"/>
        <item x="114"/>
        <item x="121"/>
        <item x="26"/>
        <item x="159"/>
        <item x="94"/>
        <item x="143"/>
        <item x="166"/>
        <item x="87"/>
        <item x="12"/>
        <item x="110"/>
        <item x="127"/>
        <item x="126"/>
        <item x="67"/>
        <item x="132"/>
        <item x="106"/>
        <item x="95"/>
        <item x="103"/>
        <item x="10"/>
        <item x="167"/>
        <item x="59"/>
        <item x="90"/>
        <item x="44"/>
        <item x="39"/>
        <item x="104"/>
        <item x="43"/>
        <item x="80"/>
        <item x="66"/>
        <item x="77"/>
        <item x="19"/>
        <item x="33"/>
        <item x="29"/>
        <item x="14"/>
        <item x="107"/>
        <item x="65"/>
        <item x="32"/>
        <item x="134"/>
        <item x="169"/>
        <item x="57"/>
        <item x="84"/>
        <item x="60"/>
        <item x="154"/>
        <item x="15"/>
        <item x="36"/>
        <item x="73"/>
        <item x="150"/>
        <item x="41"/>
        <item x="17"/>
        <item x="79"/>
        <item x="149"/>
        <item x="151"/>
        <item x="23"/>
        <item x="24"/>
        <item x="144"/>
        <item x="6"/>
        <item x="131"/>
        <item x="49"/>
        <item x="61"/>
        <item x="120"/>
        <item x="75"/>
        <item x="25"/>
        <item x="52"/>
        <item x="98"/>
        <item x="53"/>
        <item x="51"/>
        <item x="7"/>
        <item x="1"/>
        <item x="82"/>
        <item x="40"/>
        <item x="108"/>
        <item x="5"/>
        <item x="129"/>
        <item x="63"/>
        <item t="default"/>
      </items>
      <autoSortScope>
        <pivotArea dataOnly="0" outline="0" fieldPosition="0">
          <references count="1">
            <reference field="4294967294" count="1" selected="0">
              <x v="0"/>
            </reference>
          </references>
        </pivotArea>
      </autoSortScope>
    </pivotField>
    <pivotField showAll="0">
      <items count="10">
        <item x="8"/>
        <item x="4"/>
        <item x="0"/>
        <item x="2"/>
        <item x="1"/>
        <item x="7"/>
        <item x="5"/>
        <item x="6"/>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s>
  <rowFields count="1">
    <field x="0"/>
  </rowFields>
  <rowItems count="12">
    <i>
      <x v="19"/>
    </i>
    <i>
      <x v="104"/>
    </i>
    <i>
      <x v="123"/>
    </i>
    <i>
      <x v="136"/>
    </i>
    <i>
      <x v="113"/>
    </i>
    <i>
      <x v="166"/>
    </i>
    <i>
      <x v="31"/>
    </i>
    <i>
      <x v="116"/>
    </i>
    <i>
      <x v="68"/>
    </i>
    <i>
      <x v="162"/>
    </i>
    <i>
      <x v="86"/>
    </i>
    <i t="grand">
      <x/>
    </i>
  </rowItems>
  <colItems count="1">
    <i/>
  </colItems>
  <dataFields count="1">
    <dataField name="Sum of Annual growth in value between 2020-2024 (%)" fld="6" baseField="0" baseItem="0"/>
  </dataFields>
  <chartFormats count="38">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19"/>
          </reference>
        </references>
      </pivotArea>
    </chartFormat>
    <chartFormat chart="10" format="14">
      <pivotArea type="data" outline="0" fieldPosition="0">
        <references count="2">
          <reference field="4294967294" count="1" selected="0">
            <x v="0"/>
          </reference>
          <reference field="0" count="1" selected="0">
            <x v="104"/>
          </reference>
        </references>
      </pivotArea>
    </chartFormat>
    <chartFormat chart="10" format="15">
      <pivotArea type="data" outline="0" fieldPosition="0">
        <references count="2">
          <reference field="4294967294" count="1" selected="0">
            <x v="0"/>
          </reference>
          <reference field="0" count="1" selected="0">
            <x v="123"/>
          </reference>
        </references>
      </pivotArea>
    </chartFormat>
    <chartFormat chart="10" format="16">
      <pivotArea type="data" outline="0" fieldPosition="0">
        <references count="2">
          <reference field="4294967294" count="1" selected="0">
            <x v="0"/>
          </reference>
          <reference field="0" count="1" selected="0">
            <x v="136"/>
          </reference>
        </references>
      </pivotArea>
    </chartFormat>
    <chartFormat chart="10" format="17">
      <pivotArea type="data" outline="0" fieldPosition="0">
        <references count="2">
          <reference field="4294967294" count="1" selected="0">
            <x v="0"/>
          </reference>
          <reference field="0" count="1" selected="0">
            <x v="113"/>
          </reference>
        </references>
      </pivotArea>
    </chartFormat>
    <chartFormat chart="10" format="18">
      <pivotArea type="data" outline="0" fieldPosition="0">
        <references count="2">
          <reference field="4294967294" count="1" selected="0">
            <x v="0"/>
          </reference>
          <reference field="0" count="1" selected="0">
            <x v="166"/>
          </reference>
        </references>
      </pivotArea>
    </chartFormat>
    <chartFormat chart="10" format="19">
      <pivotArea type="data" outline="0" fieldPosition="0">
        <references count="2">
          <reference field="4294967294" count="1" selected="0">
            <x v="0"/>
          </reference>
          <reference field="0" count="1" selected="0">
            <x v="31"/>
          </reference>
        </references>
      </pivotArea>
    </chartFormat>
    <chartFormat chart="10" format="20">
      <pivotArea type="data" outline="0" fieldPosition="0">
        <references count="2">
          <reference field="4294967294" count="1" selected="0">
            <x v="0"/>
          </reference>
          <reference field="0" count="1" selected="0">
            <x v="116"/>
          </reference>
        </references>
      </pivotArea>
    </chartFormat>
    <chartFormat chart="10" format="21">
      <pivotArea type="data" outline="0" fieldPosition="0">
        <references count="2">
          <reference field="4294967294" count="1" selected="0">
            <x v="0"/>
          </reference>
          <reference field="0" count="1" selected="0">
            <x v="68"/>
          </reference>
        </references>
      </pivotArea>
    </chartFormat>
    <chartFormat chart="10" format="22">
      <pivotArea type="data" outline="0" fieldPosition="0">
        <references count="2">
          <reference field="4294967294" count="1" selected="0">
            <x v="0"/>
          </reference>
          <reference field="0" count="1" selected="0">
            <x v="162"/>
          </reference>
        </references>
      </pivotArea>
    </chartFormat>
    <chartFormat chart="10" format="23">
      <pivotArea type="data" outline="0" fieldPosition="0">
        <references count="2">
          <reference field="4294967294" count="1" selected="0">
            <x v="0"/>
          </reference>
          <reference field="0" count="1" selected="0">
            <x v="86"/>
          </reference>
        </references>
      </pivotArea>
    </chartFormat>
    <chartFormat chart="59" format="3" series="1">
      <pivotArea type="data" outline="0" fieldPosition="0">
        <references count="1">
          <reference field="4294967294" count="1" selected="0">
            <x v="0"/>
          </reference>
        </references>
      </pivotArea>
    </chartFormat>
    <chartFormat chart="59" format="4">
      <pivotArea type="data" outline="0" fieldPosition="0">
        <references count="2">
          <reference field="4294967294" count="1" selected="0">
            <x v="0"/>
          </reference>
          <reference field="0" count="1" selected="0">
            <x v="19"/>
          </reference>
        </references>
      </pivotArea>
    </chartFormat>
    <chartFormat chart="59" format="5">
      <pivotArea type="data" outline="0" fieldPosition="0">
        <references count="2">
          <reference field="4294967294" count="1" selected="0">
            <x v="0"/>
          </reference>
          <reference field="0" count="1" selected="0">
            <x v="104"/>
          </reference>
        </references>
      </pivotArea>
    </chartFormat>
    <chartFormat chart="59" format="6">
      <pivotArea type="data" outline="0" fieldPosition="0">
        <references count="2">
          <reference field="4294967294" count="1" selected="0">
            <x v="0"/>
          </reference>
          <reference field="0" count="1" selected="0">
            <x v="123"/>
          </reference>
        </references>
      </pivotArea>
    </chartFormat>
    <chartFormat chart="59" format="7">
      <pivotArea type="data" outline="0" fieldPosition="0">
        <references count="2">
          <reference field="4294967294" count="1" selected="0">
            <x v="0"/>
          </reference>
          <reference field="0" count="1" selected="0">
            <x v="136"/>
          </reference>
        </references>
      </pivotArea>
    </chartFormat>
    <chartFormat chart="59" format="8">
      <pivotArea type="data" outline="0" fieldPosition="0">
        <references count="2">
          <reference field="4294967294" count="1" selected="0">
            <x v="0"/>
          </reference>
          <reference field="0" count="1" selected="0">
            <x v="113"/>
          </reference>
        </references>
      </pivotArea>
    </chartFormat>
    <chartFormat chart="59" format="9">
      <pivotArea type="data" outline="0" fieldPosition="0">
        <references count="2">
          <reference field="4294967294" count="1" selected="0">
            <x v="0"/>
          </reference>
          <reference field="0" count="1" selected="0">
            <x v="166"/>
          </reference>
        </references>
      </pivotArea>
    </chartFormat>
    <chartFormat chart="59" format="10">
      <pivotArea type="data" outline="0" fieldPosition="0">
        <references count="2">
          <reference field="4294967294" count="1" selected="0">
            <x v="0"/>
          </reference>
          <reference field="0" count="1" selected="0">
            <x v="31"/>
          </reference>
        </references>
      </pivotArea>
    </chartFormat>
    <chartFormat chart="59" format="11">
      <pivotArea type="data" outline="0" fieldPosition="0">
        <references count="2">
          <reference field="4294967294" count="1" selected="0">
            <x v="0"/>
          </reference>
          <reference field="0" count="1" selected="0">
            <x v="116"/>
          </reference>
        </references>
      </pivotArea>
    </chartFormat>
    <chartFormat chart="59" format="12">
      <pivotArea type="data" outline="0" fieldPosition="0">
        <references count="2">
          <reference field="4294967294" count="1" selected="0">
            <x v="0"/>
          </reference>
          <reference field="0" count="1" selected="0">
            <x v="68"/>
          </reference>
        </references>
      </pivotArea>
    </chartFormat>
    <chartFormat chart="59" format="13">
      <pivotArea type="data" outline="0" fieldPosition="0">
        <references count="2">
          <reference field="4294967294" count="1" selected="0">
            <x v="0"/>
          </reference>
          <reference field="0" count="1" selected="0">
            <x v="162"/>
          </reference>
        </references>
      </pivotArea>
    </chartFormat>
    <chartFormat chart="59" format="14">
      <pivotArea type="data" outline="0" fieldPosition="0">
        <references count="2">
          <reference field="4294967294" count="1" selected="0">
            <x v="0"/>
          </reference>
          <reference field="0" count="1" selected="0">
            <x v="86"/>
          </reference>
        </references>
      </pivotArea>
    </chartFormat>
    <chartFormat chart="60" format="15" series="1">
      <pivotArea type="data" outline="0" fieldPosition="0">
        <references count="1">
          <reference field="4294967294" count="1" selected="0">
            <x v="0"/>
          </reference>
        </references>
      </pivotArea>
    </chartFormat>
    <chartFormat chart="60" format="16">
      <pivotArea type="data" outline="0" fieldPosition="0">
        <references count="2">
          <reference field="4294967294" count="1" selected="0">
            <x v="0"/>
          </reference>
          <reference field="0" count="1" selected="0">
            <x v="19"/>
          </reference>
        </references>
      </pivotArea>
    </chartFormat>
    <chartFormat chart="60" format="17">
      <pivotArea type="data" outline="0" fieldPosition="0">
        <references count="2">
          <reference field="4294967294" count="1" selected="0">
            <x v="0"/>
          </reference>
          <reference field="0" count="1" selected="0">
            <x v="104"/>
          </reference>
        </references>
      </pivotArea>
    </chartFormat>
    <chartFormat chart="60" format="18">
      <pivotArea type="data" outline="0" fieldPosition="0">
        <references count="2">
          <reference field="4294967294" count="1" selected="0">
            <x v="0"/>
          </reference>
          <reference field="0" count="1" selected="0">
            <x v="123"/>
          </reference>
        </references>
      </pivotArea>
    </chartFormat>
    <chartFormat chart="60" format="19">
      <pivotArea type="data" outline="0" fieldPosition="0">
        <references count="2">
          <reference field="4294967294" count="1" selected="0">
            <x v="0"/>
          </reference>
          <reference field="0" count="1" selected="0">
            <x v="136"/>
          </reference>
        </references>
      </pivotArea>
    </chartFormat>
    <chartFormat chart="60" format="20">
      <pivotArea type="data" outline="0" fieldPosition="0">
        <references count="2">
          <reference field="4294967294" count="1" selected="0">
            <x v="0"/>
          </reference>
          <reference field="0" count="1" selected="0">
            <x v="113"/>
          </reference>
        </references>
      </pivotArea>
    </chartFormat>
    <chartFormat chart="60" format="21">
      <pivotArea type="data" outline="0" fieldPosition="0">
        <references count="2">
          <reference field="4294967294" count="1" selected="0">
            <x v="0"/>
          </reference>
          <reference field="0" count="1" selected="0">
            <x v="166"/>
          </reference>
        </references>
      </pivotArea>
    </chartFormat>
    <chartFormat chart="60" format="22">
      <pivotArea type="data" outline="0" fieldPosition="0">
        <references count="2">
          <reference field="4294967294" count="1" selected="0">
            <x v="0"/>
          </reference>
          <reference field="0" count="1" selected="0">
            <x v="31"/>
          </reference>
        </references>
      </pivotArea>
    </chartFormat>
    <chartFormat chart="60" format="23">
      <pivotArea type="data" outline="0" fieldPosition="0">
        <references count="2">
          <reference field="4294967294" count="1" selected="0">
            <x v="0"/>
          </reference>
          <reference field="0" count="1" selected="0">
            <x v="116"/>
          </reference>
        </references>
      </pivotArea>
    </chartFormat>
    <chartFormat chart="60" format="24">
      <pivotArea type="data" outline="0" fieldPosition="0">
        <references count="2">
          <reference field="4294967294" count="1" selected="0">
            <x v="0"/>
          </reference>
          <reference field="0" count="1" selected="0">
            <x v="68"/>
          </reference>
        </references>
      </pivotArea>
    </chartFormat>
    <chartFormat chart="60" format="25">
      <pivotArea type="data" outline="0" fieldPosition="0">
        <references count="2">
          <reference field="4294967294" count="1" selected="0">
            <x v="0"/>
          </reference>
          <reference field="0" count="1" selected="0">
            <x v="162"/>
          </reference>
        </references>
      </pivotArea>
    </chartFormat>
    <chartFormat chart="60" format="26">
      <pivotArea type="data" outline="0" fieldPosition="0">
        <references count="2">
          <reference field="4294967294" count="1" selected="0">
            <x v="0"/>
          </reference>
          <reference field="0" count="1" selected="0">
            <x v="86"/>
          </reference>
        </references>
      </pivotArea>
    </chartFormat>
    <chartFormat chart="78" format="0"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65D848-3CEA-417D-96EE-9CBCF7BA025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2:K108" firstHeaderRow="1" firstDataRow="2" firstDataCol="1" rowPageCount="1" colPageCount="1"/>
  <pivotFields count="15">
    <pivotField axis="axisRow" showAll="0" measureFilter="1">
      <items count="171">
        <item x="123"/>
        <item x="133"/>
        <item x="68"/>
        <item x="164"/>
        <item x="102"/>
        <item x="156"/>
        <item x="20"/>
        <item x="117"/>
        <item x="142"/>
        <item x="34"/>
        <item x="9"/>
        <item x="81"/>
        <item x="145"/>
        <item x="83"/>
        <item x="113"/>
        <item x="122"/>
        <item x="70"/>
        <item x="8"/>
        <item x="141"/>
        <item x="138"/>
        <item x="148"/>
        <item x="155"/>
        <item x="89"/>
        <item x="116"/>
        <item x="140"/>
        <item x="86"/>
        <item x="165"/>
        <item x="88"/>
        <item x="72"/>
        <item x="147"/>
        <item x="160"/>
        <item x="54"/>
        <item x="163"/>
        <item x="28"/>
        <item x="16"/>
        <item x="22"/>
        <item x="27"/>
        <item x="136"/>
        <item x="62"/>
        <item x="76"/>
        <item x="96"/>
        <item x="91"/>
        <item x="137"/>
        <item x="168"/>
        <item x="119"/>
        <item x="18"/>
        <item x="56"/>
        <item x="135"/>
        <item x="74"/>
        <item x="31"/>
        <item x="48"/>
        <item x="58"/>
        <item x="162"/>
        <item x="37"/>
        <item x="100"/>
        <item x="130"/>
        <item x="128"/>
        <item x="47"/>
        <item x="3"/>
        <item x="152"/>
        <item x="157"/>
        <item x="111"/>
        <item x="0"/>
        <item x="45"/>
        <item x="64"/>
        <item x="158"/>
        <item x="46"/>
        <item x="55"/>
        <item x="139"/>
        <item x="161"/>
        <item x="109"/>
        <item x="97"/>
        <item x="38"/>
        <item x="115"/>
        <item x="21"/>
        <item x="13"/>
        <item x="78"/>
        <item x="92"/>
        <item x="11"/>
        <item x="4"/>
        <item x="2"/>
        <item x="112"/>
        <item x="30"/>
        <item x="35"/>
        <item x="42"/>
        <item x="69"/>
        <item x="153"/>
        <item x="71"/>
        <item x="99"/>
        <item x="93"/>
        <item x="50"/>
        <item x="105"/>
        <item x="118"/>
        <item x="146"/>
        <item x="101"/>
        <item x="85"/>
        <item x="124"/>
        <item x="125"/>
        <item x="114"/>
        <item x="121"/>
        <item x="26"/>
        <item x="159"/>
        <item x="94"/>
        <item x="143"/>
        <item x="166"/>
        <item x="87"/>
        <item x="12"/>
        <item x="110"/>
        <item x="127"/>
        <item x="126"/>
        <item x="67"/>
        <item x="132"/>
        <item x="106"/>
        <item x="95"/>
        <item x="103"/>
        <item x="10"/>
        <item x="167"/>
        <item x="59"/>
        <item x="90"/>
        <item x="44"/>
        <item x="39"/>
        <item x="104"/>
        <item x="43"/>
        <item x="80"/>
        <item x="66"/>
        <item x="77"/>
        <item x="19"/>
        <item x="33"/>
        <item x="29"/>
        <item x="14"/>
        <item x="107"/>
        <item x="65"/>
        <item x="32"/>
        <item x="134"/>
        <item x="169"/>
        <item x="57"/>
        <item x="84"/>
        <item x="60"/>
        <item x="154"/>
        <item x="15"/>
        <item x="36"/>
        <item x="73"/>
        <item x="150"/>
        <item x="41"/>
        <item x="17"/>
        <item x="79"/>
        <item x="149"/>
        <item x="151"/>
        <item x="23"/>
        <item x="24"/>
        <item x="144"/>
        <item x="6"/>
        <item x="131"/>
        <item x="49"/>
        <item x="61"/>
        <item x="120"/>
        <item x="75"/>
        <item x="25"/>
        <item x="52"/>
        <item x="98"/>
        <item x="53"/>
        <item x="51"/>
        <item x="7"/>
        <item x="1"/>
        <item x="82"/>
        <item x="40"/>
        <item x="108"/>
        <item x="5"/>
        <item x="129"/>
        <item x="63"/>
        <item t="default"/>
      </items>
    </pivotField>
    <pivotField axis="axisPage" multipleItemSelectionAllowed="1" showAll="0">
      <items count="10">
        <item x="8"/>
        <item x="4"/>
        <item x="0"/>
        <item x="2"/>
        <item x="1"/>
        <item x="7"/>
        <item x="5"/>
        <item x="6"/>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axis="axisCol" showAll="0">
      <items count="3">
        <item x="1"/>
        <item sd="0" x="0"/>
        <item t="default"/>
      </items>
    </pivotField>
  </pivotFields>
  <rowFields count="1">
    <field x="0"/>
  </rowFields>
  <rowItems count="15">
    <i>
      <x v="5"/>
    </i>
    <i>
      <x v="8"/>
    </i>
    <i>
      <x v="12"/>
    </i>
    <i>
      <x v="20"/>
    </i>
    <i>
      <x v="21"/>
    </i>
    <i>
      <x v="32"/>
    </i>
    <i>
      <x v="43"/>
    </i>
    <i>
      <x v="69"/>
    </i>
    <i>
      <x v="86"/>
    </i>
    <i>
      <x v="93"/>
    </i>
    <i>
      <x v="104"/>
    </i>
    <i>
      <x v="106"/>
    </i>
    <i>
      <x v="134"/>
    </i>
    <i>
      <x v="146"/>
    </i>
    <i t="grand">
      <x/>
    </i>
  </rowItems>
  <colFields count="1">
    <field x="14"/>
  </colFields>
  <colItems count="3">
    <i>
      <x/>
    </i>
    <i>
      <x v="1"/>
    </i>
    <i t="grand">
      <x/>
    </i>
  </colItems>
  <pageFields count="1">
    <pageField fld="1" hier="-1"/>
  </pageFields>
  <dataFields count="1">
    <dataField name="Average of Concentration of supplying countries" fld="11" subtotal="average" baseField="0" baseItem="1"/>
  </dataFields>
  <formats count="2">
    <format dxfId="67">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0F184A-C602-410A-8099-9BF6231F10E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H35:I45" firstHeaderRow="1" firstDataRow="1" firstDataCol="1"/>
  <pivotFields count="15">
    <pivotField showAll="0" measureFilter="1" sortType="descending">
      <autoSortScope>
        <pivotArea dataOnly="0" outline="0" fieldPosition="0">
          <references count="1">
            <reference field="4294967294" count="1" selected="0">
              <x v="0"/>
            </reference>
          </references>
        </pivotArea>
      </autoSortScope>
    </pivotField>
    <pivotField axis="axisRow" showAll="0" sortType="descending">
      <items count="10">
        <item x="8"/>
        <item x="4"/>
        <item x="0"/>
        <item x="2"/>
        <item x="1"/>
        <item x="7"/>
        <item x="5"/>
        <item x="6"/>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s>
  <rowFields count="1">
    <field x="1"/>
  </rowFields>
  <rowItems count="10">
    <i>
      <x v="5"/>
    </i>
    <i>
      <x v="6"/>
    </i>
    <i>
      <x/>
    </i>
    <i>
      <x v="7"/>
    </i>
    <i>
      <x v="8"/>
    </i>
    <i>
      <x v="2"/>
    </i>
    <i>
      <x v="3"/>
    </i>
    <i>
      <x v="4"/>
    </i>
    <i>
      <x v="1"/>
    </i>
    <i t="grand">
      <x/>
    </i>
  </rowItems>
  <colItems count="1">
    <i/>
  </colItems>
  <dataFields count="1">
    <dataField name="Average of Annual growth in value between 2020-2024 (%)" fld="6" subtotal="average" baseField="1" baseItem="0" numFmtId="164"/>
  </dataFields>
  <formats count="3">
    <format dxfId="70">
      <pivotArea collapsedLevelsAreSubtotals="1" fieldPosition="0">
        <references count="1">
          <reference field="1" count="1">
            <x v="5"/>
          </reference>
        </references>
      </pivotArea>
    </format>
    <format dxfId="69">
      <pivotArea outline="0" collapsedLevelsAreSubtotals="1" fieldPosition="0"/>
    </format>
    <format dxfId="6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27B7E3-2512-4BE6-A7FA-CC416C959E8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H49:I59" firstHeaderRow="1" firstDataRow="1" firstDataCol="1"/>
  <pivotFields count="15">
    <pivotField showAll="0"/>
    <pivotField axis="axisRow" showAll="0">
      <items count="10">
        <item x="8"/>
        <item x="4"/>
        <item x="0"/>
        <item x="2"/>
        <item x="1"/>
        <item x="7"/>
        <item x="5"/>
        <item x="6"/>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1"/>
  </rowFields>
  <rowItems count="10">
    <i>
      <x/>
    </i>
    <i>
      <x v="1"/>
    </i>
    <i>
      <x v="2"/>
    </i>
    <i>
      <x v="3"/>
    </i>
    <i>
      <x v="4"/>
    </i>
    <i>
      <x v="5"/>
    </i>
    <i>
      <x v="6"/>
    </i>
    <i>
      <x v="7"/>
    </i>
    <i>
      <x v="8"/>
    </i>
    <i t="grand">
      <x/>
    </i>
  </rowItems>
  <colItems count="1">
    <i/>
  </colItems>
  <dataFields count="1">
    <dataField name="Average of Value imported in 2024 (USD thousand)" fld="2" subtotal="average" baseField="1" baseItem="1"/>
  </dataFields>
  <formats count="3">
    <format dxfId="73">
      <pivotArea collapsedLevelsAreSubtotals="1" fieldPosition="0">
        <references count="1">
          <reference field="1" count="1">
            <x v="5"/>
          </reference>
        </references>
      </pivotArea>
    </format>
    <format dxfId="72">
      <pivotArea outline="0" collapsedLevelsAreSubtotals="1" fieldPosition="0"/>
    </format>
    <format dxfId="7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2D1C3E-9B64-4BD7-8188-29597E999246}"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74" firstHeaderRow="1" firstDataRow="1" firstDataCol="1"/>
  <pivotFields count="15">
    <pivotField axis="axisRow" showAll="0">
      <items count="171">
        <item x="123"/>
        <item x="133"/>
        <item x="68"/>
        <item x="164"/>
        <item x="102"/>
        <item x="156"/>
        <item x="20"/>
        <item x="117"/>
        <item x="142"/>
        <item x="34"/>
        <item x="9"/>
        <item x="81"/>
        <item x="145"/>
        <item x="83"/>
        <item x="113"/>
        <item x="122"/>
        <item x="70"/>
        <item x="8"/>
        <item x="141"/>
        <item x="138"/>
        <item x="148"/>
        <item x="155"/>
        <item x="89"/>
        <item x="116"/>
        <item x="140"/>
        <item x="86"/>
        <item x="165"/>
        <item x="88"/>
        <item x="72"/>
        <item x="147"/>
        <item x="160"/>
        <item x="54"/>
        <item x="163"/>
        <item x="28"/>
        <item x="16"/>
        <item x="22"/>
        <item x="27"/>
        <item x="136"/>
        <item x="62"/>
        <item x="76"/>
        <item x="96"/>
        <item x="91"/>
        <item x="137"/>
        <item x="168"/>
        <item x="119"/>
        <item x="18"/>
        <item x="56"/>
        <item x="135"/>
        <item x="74"/>
        <item x="31"/>
        <item x="48"/>
        <item x="58"/>
        <item x="162"/>
        <item x="37"/>
        <item x="100"/>
        <item x="130"/>
        <item x="128"/>
        <item x="47"/>
        <item x="3"/>
        <item x="152"/>
        <item x="157"/>
        <item x="111"/>
        <item x="0"/>
        <item x="45"/>
        <item x="64"/>
        <item x="158"/>
        <item x="46"/>
        <item x="55"/>
        <item x="139"/>
        <item x="161"/>
        <item x="109"/>
        <item x="97"/>
        <item x="38"/>
        <item x="115"/>
        <item x="21"/>
        <item x="13"/>
        <item x="78"/>
        <item x="92"/>
        <item x="11"/>
        <item x="4"/>
        <item x="2"/>
        <item x="112"/>
        <item x="30"/>
        <item x="35"/>
        <item x="42"/>
        <item x="69"/>
        <item x="153"/>
        <item x="71"/>
        <item x="99"/>
        <item x="93"/>
        <item x="50"/>
        <item x="105"/>
        <item x="118"/>
        <item x="146"/>
        <item x="101"/>
        <item x="85"/>
        <item x="124"/>
        <item x="125"/>
        <item x="114"/>
        <item x="121"/>
        <item x="26"/>
        <item x="159"/>
        <item x="94"/>
        <item x="143"/>
        <item x="166"/>
        <item x="87"/>
        <item x="12"/>
        <item x="110"/>
        <item x="127"/>
        <item x="126"/>
        <item x="67"/>
        <item x="132"/>
        <item x="106"/>
        <item x="95"/>
        <item x="103"/>
        <item x="10"/>
        <item x="167"/>
        <item x="59"/>
        <item x="90"/>
        <item x="44"/>
        <item x="39"/>
        <item x="104"/>
        <item x="43"/>
        <item x="80"/>
        <item x="66"/>
        <item x="77"/>
        <item x="19"/>
        <item x="33"/>
        <item x="29"/>
        <item x="14"/>
        <item x="107"/>
        <item x="65"/>
        <item x="32"/>
        <item x="134"/>
        <item x="169"/>
        <item x="57"/>
        <item x="84"/>
        <item x="60"/>
        <item x="154"/>
        <item x="15"/>
        <item x="36"/>
        <item x="73"/>
        <item x="150"/>
        <item x="41"/>
        <item x="17"/>
        <item x="79"/>
        <item x="149"/>
        <item x="151"/>
        <item x="23"/>
        <item x="24"/>
        <item x="144"/>
        <item x="6"/>
        <item x="131"/>
        <item x="49"/>
        <item x="61"/>
        <item x="120"/>
        <item x="75"/>
        <item x="25"/>
        <item x="52"/>
        <item x="98"/>
        <item x="53"/>
        <item x="51"/>
        <item x="7"/>
        <item x="1"/>
        <item x="82"/>
        <item x="40"/>
        <item x="108"/>
        <item x="5"/>
        <item x="129"/>
        <item x="63"/>
        <item t="default"/>
      </items>
    </pivotField>
    <pivotField showAll="0">
      <items count="10">
        <item x="8"/>
        <item x="4"/>
        <item x="0"/>
        <item x="2"/>
        <item x="1"/>
        <item x="7"/>
        <item x="5"/>
        <item x="6"/>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0"/>
  </rowFields>
  <rowItems count="1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t="grand">
      <x/>
    </i>
  </rowItems>
  <colItems count="1">
    <i/>
  </colItems>
  <dataFields count="1">
    <dataField name="Sum of Value imported in 2024 (USD thousan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497D81-101D-4D0A-B2F2-5D33773847F8}"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57:B78" firstHeaderRow="1" firstDataRow="1" firstDataCol="1" rowPageCount="1" colPageCount="1"/>
  <pivotFields count="15">
    <pivotField axis="axisRow" showAll="0" measureFilter="1" sortType="descending">
      <items count="171">
        <item x="123"/>
        <item x="133"/>
        <item x="68"/>
        <item x="164"/>
        <item x="102"/>
        <item x="156"/>
        <item x="20"/>
        <item x="117"/>
        <item x="142"/>
        <item x="34"/>
        <item x="9"/>
        <item x="81"/>
        <item x="145"/>
        <item x="83"/>
        <item x="113"/>
        <item x="122"/>
        <item x="70"/>
        <item x="8"/>
        <item x="141"/>
        <item x="138"/>
        <item x="148"/>
        <item x="155"/>
        <item x="89"/>
        <item x="116"/>
        <item x="140"/>
        <item x="86"/>
        <item x="165"/>
        <item x="88"/>
        <item x="72"/>
        <item x="147"/>
        <item x="160"/>
        <item x="54"/>
        <item x="163"/>
        <item x="28"/>
        <item x="16"/>
        <item x="22"/>
        <item x="27"/>
        <item x="136"/>
        <item x="62"/>
        <item x="76"/>
        <item x="96"/>
        <item x="91"/>
        <item x="137"/>
        <item x="168"/>
        <item x="119"/>
        <item x="18"/>
        <item x="56"/>
        <item x="135"/>
        <item x="74"/>
        <item x="31"/>
        <item x="48"/>
        <item x="58"/>
        <item x="162"/>
        <item x="37"/>
        <item x="100"/>
        <item x="130"/>
        <item x="128"/>
        <item x="47"/>
        <item x="3"/>
        <item x="152"/>
        <item x="157"/>
        <item x="111"/>
        <item x="0"/>
        <item x="45"/>
        <item x="64"/>
        <item x="158"/>
        <item x="46"/>
        <item x="55"/>
        <item x="139"/>
        <item x="161"/>
        <item x="109"/>
        <item x="97"/>
        <item x="38"/>
        <item x="115"/>
        <item x="21"/>
        <item x="13"/>
        <item x="78"/>
        <item x="92"/>
        <item x="11"/>
        <item x="4"/>
        <item x="2"/>
        <item x="112"/>
        <item x="30"/>
        <item x="35"/>
        <item x="42"/>
        <item x="69"/>
        <item x="153"/>
        <item x="71"/>
        <item x="99"/>
        <item x="93"/>
        <item x="50"/>
        <item x="105"/>
        <item x="118"/>
        <item x="146"/>
        <item x="101"/>
        <item x="85"/>
        <item x="124"/>
        <item x="125"/>
        <item x="114"/>
        <item x="121"/>
        <item x="26"/>
        <item x="159"/>
        <item x="94"/>
        <item x="143"/>
        <item x="166"/>
        <item x="87"/>
        <item x="12"/>
        <item x="110"/>
        <item x="127"/>
        <item x="126"/>
        <item x="67"/>
        <item x="132"/>
        <item x="106"/>
        <item x="95"/>
        <item x="103"/>
        <item x="10"/>
        <item x="167"/>
        <item x="59"/>
        <item x="90"/>
        <item x="44"/>
        <item x="39"/>
        <item x="104"/>
        <item x="43"/>
        <item x="80"/>
        <item x="66"/>
        <item x="77"/>
        <item x="19"/>
        <item x="33"/>
        <item x="29"/>
        <item x="14"/>
        <item x="107"/>
        <item x="65"/>
        <item x="32"/>
        <item x="134"/>
        <item x="169"/>
        <item x="57"/>
        <item x="84"/>
        <item x="60"/>
        <item x="154"/>
        <item x="15"/>
        <item x="36"/>
        <item x="73"/>
        <item x="150"/>
        <item x="41"/>
        <item x="17"/>
        <item x="79"/>
        <item x="149"/>
        <item x="151"/>
        <item x="23"/>
        <item x="24"/>
        <item x="144"/>
        <item x="6"/>
        <item x="131"/>
        <item x="49"/>
        <item x="61"/>
        <item x="120"/>
        <item x="75"/>
        <item x="25"/>
        <item x="52"/>
        <item x="98"/>
        <item x="53"/>
        <item x="51"/>
        <item x="7"/>
        <item x="1"/>
        <item x="82"/>
        <item x="40"/>
        <item x="108"/>
        <item x="5"/>
        <item x="129"/>
        <item x="63"/>
        <item t="default"/>
      </items>
      <autoSortScope>
        <pivotArea dataOnly="0" outline="0" fieldPosition="0">
          <references count="1">
            <reference field="4294967294" count="1" selected="0">
              <x v="0"/>
            </reference>
          </references>
        </pivotArea>
      </autoSortScope>
    </pivotField>
    <pivotField axis="axisPage" multipleItemSelectionAllowed="1" showAll="0">
      <items count="10">
        <item x="8"/>
        <item x="4"/>
        <item x="0"/>
        <item x="2"/>
        <item x="1"/>
        <item x="7"/>
        <item x="5"/>
        <item x="6"/>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s>
  <rowFields count="1">
    <field x="0"/>
  </rowFields>
  <rowItems count="21">
    <i>
      <x v="19"/>
    </i>
    <i>
      <x v="104"/>
    </i>
    <i>
      <x v="123"/>
    </i>
    <i>
      <x v="136"/>
    </i>
    <i>
      <x v="113"/>
    </i>
    <i>
      <x v="166"/>
    </i>
    <i>
      <x v="31"/>
    </i>
    <i>
      <x v="68"/>
    </i>
    <i>
      <x v="116"/>
    </i>
    <i>
      <x v="86"/>
    </i>
    <i>
      <x v="162"/>
    </i>
    <i>
      <x v="56"/>
    </i>
    <i>
      <x v="81"/>
    </i>
    <i>
      <x v="8"/>
    </i>
    <i>
      <x v="158"/>
    </i>
    <i>
      <x v="147"/>
    </i>
    <i>
      <x v="119"/>
    </i>
    <i>
      <x v="60"/>
    </i>
    <i>
      <x/>
    </i>
    <i>
      <x v="114"/>
    </i>
    <i t="grand">
      <x/>
    </i>
  </rowItems>
  <colItems count="1">
    <i/>
  </colItems>
  <pageFields count="1">
    <pageField fld="1" hier="-1"/>
  </pageFields>
  <dataFields count="1">
    <dataField name="Sum of Annual growth in value between 2020-2024 (%)" fld="6" baseField="0" baseItem="0"/>
  </dataFields>
  <chartFormats count="4">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37D34E-E92C-4C1E-9451-73748BF1066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0:B51" firstHeaderRow="1" firstDataRow="1" firstDataCol="1" rowPageCount="1" colPageCount="1"/>
  <pivotFields count="15">
    <pivotField axis="axisRow" showAll="0" measureFilter="1" sortType="descending">
      <items count="171">
        <item x="123"/>
        <item x="133"/>
        <item x="68"/>
        <item x="164"/>
        <item x="102"/>
        <item x="156"/>
        <item x="20"/>
        <item x="117"/>
        <item x="142"/>
        <item x="34"/>
        <item x="9"/>
        <item x="81"/>
        <item x="145"/>
        <item x="83"/>
        <item x="113"/>
        <item x="122"/>
        <item x="70"/>
        <item x="8"/>
        <item x="141"/>
        <item x="138"/>
        <item x="148"/>
        <item x="155"/>
        <item x="89"/>
        <item x="116"/>
        <item x="140"/>
        <item x="86"/>
        <item x="165"/>
        <item x="88"/>
        <item x="72"/>
        <item x="147"/>
        <item x="160"/>
        <item x="54"/>
        <item x="163"/>
        <item x="28"/>
        <item x="16"/>
        <item x="22"/>
        <item x="27"/>
        <item x="136"/>
        <item x="62"/>
        <item x="76"/>
        <item x="96"/>
        <item x="91"/>
        <item x="137"/>
        <item x="168"/>
        <item x="119"/>
        <item x="18"/>
        <item x="56"/>
        <item x="135"/>
        <item x="74"/>
        <item x="31"/>
        <item x="48"/>
        <item x="58"/>
        <item x="162"/>
        <item x="37"/>
        <item x="100"/>
        <item x="130"/>
        <item x="128"/>
        <item x="47"/>
        <item x="3"/>
        <item x="152"/>
        <item x="157"/>
        <item x="111"/>
        <item x="0"/>
        <item x="45"/>
        <item x="64"/>
        <item x="158"/>
        <item x="46"/>
        <item x="55"/>
        <item x="139"/>
        <item x="161"/>
        <item x="109"/>
        <item x="97"/>
        <item x="38"/>
        <item x="115"/>
        <item x="21"/>
        <item x="13"/>
        <item x="78"/>
        <item x="92"/>
        <item x="11"/>
        <item x="4"/>
        <item x="2"/>
        <item x="112"/>
        <item x="30"/>
        <item x="35"/>
        <item x="42"/>
        <item x="69"/>
        <item x="153"/>
        <item x="71"/>
        <item x="99"/>
        <item x="93"/>
        <item x="50"/>
        <item x="105"/>
        <item x="118"/>
        <item x="146"/>
        <item x="101"/>
        <item x="85"/>
        <item x="124"/>
        <item x="125"/>
        <item x="114"/>
        <item x="121"/>
        <item x="26"/>
        <item x="159"/>
        <item x="94"/>
        <item x="143"/>
        <item x="166"/>
        <item x="87"/>
        <item x="12"/>
        <item x="110"/>
        <item x="127"/>
        <item x="126"/>
        <item x="67"/>
        <item x="132"/>
        <item x="106"/>
        <item x="95"/>
        <item x="103"/>
        <item x="10"/>
        <item x="167"/>
        <item x="59"/>
        <item x="90"/>
        <item x="44"/>
        <item x="39"/>
        <item x="104"/>
        <item x="43"/>
        <item x="80"/>
        <item x="66"/>
        <item x="77"/>
        <item x="19"/>
        <item x="33"/>
        <item x="29"/>
        <item x="14"/>
        <item x="107"/>
        <item x="65"/>
        <item x="32"/>
        <item x="134"/>
        <item x="169"/>
        <item x="57"/>
        <item x="84"/>
        <item x="60"/>
        <item x="154"/>
        <item x="15"/>
        <item x="36"/>
        <item x="73"/>
        <item x="150"/>
        <item x="41"/>
        <item x="17"/>
        <item x="79"/>
        <item x="149"/>
        <item x="151"/>
        <item x="23"/>
        <item x="24"/>
        <item x="144"/>
        <item x="6"/>
        <item x="131"/>
        <item x="49"/>
        <item x="61"/>
        <item x="120"/>
        <item x="75"/>
        <item x="25"/>
        <item x="52"/>
        <item x="98"/>
        <item x="53"/>
        <item x="51"/>
        <item x="7"/>
        <item x="1"/>
        <item x="82"/>
        <item x="40"/>
        <item x="108"/>
        <item x="5"/>
        <item x="129"/>
        <item x="63"/>
        <item t="default"/>
      </items>
      <autoSortScope>
        <pivotArea dataOnly="0" outline="0" fieldPosition="0">
          <references count="1">
            <reference field="4294967294" count="1" selected="0">
              <x v="0"/>
            </reference>
          </references>
        </pivotArea>
      </autoSortScope>
    </pivotField>
    <pivotField axis="axisPage" multipleItemSelectionAllowed="1" showAll="0">
      <items count="10">
        <item x="8"/>
        <item x="4"/>
        <item x="0"/>
        <item x="2"/>
        <item x="1"/>
        <item x="7"/>
        <item x="5"/>
        <item x="6"/>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s>
  <rowFields count="1">
    <field x="0"/>
  </rowFields>
  <rowItems count="21">
    <i>
      <x v="19"/>
    </i>
    <i>
      <x v="104"/>
    </i>
    <i>
      <x v="123"/>
    </i>
    <i>
      <x v="136"/>
    </i>
    <i>
      <x v="113"/>
    </i>
    <i>
      <x v="166"/>
    </i>
    <i>
      <x v="31"/>
    </i>
    <i>
      <x v="68"/>
    </i>
    <i>
      <x v="116"/>
    </i>
    <i>
      <x v="86"/>
    </i>
    <i>
      <x v="162"/>
    </i>
    <i>
      <x v="56"/>
    </i>
    <i>
      <x v="81"/>
    </i>
    <i>
      <x v="8"/>
    </i>
    <i>
      <x v="158"/>
    </i>
    <i>
      <x v="147"/>
    </i>
    <i>
      <x v="119"/>
    </i>
    <i>
      <x v="60"/>
    </i>
    <i>
      <x/>
    </i>
    <i>
      <x v="114"/>
    </i>
    <i t="grand">
      <x/>
    </i>
  </rowItems>
  <colItems count="1">
    <i/>
  </colItems>
  <pageFields count="1">
    <pageField fld="1" hier="-1"/>
  </pageFields>
  <dataFields count="1">
    <dataField name="Sum of Annual growth in value between 2020-2024 (%)" fld="6" baseField="0" baseItem="0"/>
  </dataFields>
  <pivotTableStyleInfo name="PivotStyleLight16" showRowHeaders="1" showColHeaders="1" showRowStripes="0" showColStripes="0" showLastColumn="1"/>
  <filters count="1">
    <filter fld="0"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910CC3-9BB3-480C-86B3-35ED1151A88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4" firstHeaderRow="1" firstDataRow="1" firstDataCol="1" rowPageCount="1" colPageCount="1"/>
  <pivotFields count="15">
    <pivotField axis="axisRow" showAll="0" measureFilter="1" sortType="ascending">
      <items count="171">
        <item x="63"/>
        <item x="129"/>
        <item x="5"/>
        <item x="108"/>
        <item x="40"/>
        <item x="82"/>
        <item x="1"/>
        <item x="7"/>
        <item x="51"/>
        <item x="53"/>
        <item x="98"/>
        <item x="52"/>
        <item x="25"/>
        <item x="75"/>
        <item x="120"/>
        <item x="61"/>
        <item x="49"/>
        <item x="131"/>
        <item x="6"/>
        <item x="144"/>
        <item x="24"/>
        <item x="23"/>
        <item x="151"/>
        <item x="149"/>
        <item x="79"/>
        <item x="17"/>
        <item x="41"/>
        <item x="150"/>
        <item x="73"/>
        <item x="36"/>
        <item x="15"/>
        <item x="154"/>
        <item x="60"/>
        <item x="84"/>
        <item x="57"/>
        <item x="169"/>
        <item x="134"/>
        <item x="32"/>
        <item x="65"/>
        <item x="107"/>
        <item x="14"/>
        <item x="29"/>
        <item x="33"/>
        <item x="19"/>
        <item x="77"/>
        <item x="66"/>
        <item x="80"/>
        <item x="43"/>
        <item x="104"/>
        <item x="39"/>
        <item x="44"/>
        <item x="90"/>
        <item x="59"/>
        <item x="167"/>
        <item x="10"/>
        <item x="103"/>
        <item x="95"/>
        <item x="106"/>
        <item x="132"/>
        <item x="67"/>
        <item x="126"/>
        <item x="127"/>
        <item x="110"/>
        <item x="12"/>
        <item x="87"/>
        <item x="166"/>
        <item x="143"/>
        <item x="94"/>
        <item x="159"/>
        <item x="26"/>
        <item x="121"/>
        <item x="114"/>
        <item x="125"/>
        <item x="124"/>
        <item x="85"/>
        <item x="101"/>
        <item x="146"/>
        <item x="118"/>
        <item x="105"/>
        <item x="50"/>
        <item x="93"/>
        <item x="99"/>
        <item x="71"/>
        <item x="153"/>
        <item x="69"/>
        <item x="42"/>
        <item x="35"/>
        <item x="30"/>
        <item x="112"/>
        <item x="2"/>
        <item x="4"/>
        <item x="11"/>
        <item x="92"/>
        <item x="78"/>
        <item x="13"/>
        <item x="21"/>
        <item x="115"/>
        <item x="38"/>
        <item x="97"/>
        <item x="109"/>
        <item x="161"/>
        <item x="139"/>
        <item x="55"/>
        <item x="46"/>
        <item x="158"/>
        <item x="64"/>
        <item x="45"/>
        <item x="0"/>
        <item x="111"/>
        <item x="157"/>
        <item x="152"/>
        <item x="3"/>
        <item x="47"/>
        <item x="128"/>
        <item x="130"/>
        <item x="100"/>
        <item x="37"/>
        <item x="162"/>
        <item x="58"/>
        <item x="48"/>
        <item x="31"/>
        <item x="74"/>
        <item x="135"/>
        <item x="56"/>
        <item x="18"/>
        <item x="119"/>
        <item x="168"/>
        <item x="137"/>
        <item x="91"/>
        <item x="96"/>
        <item x="76"/>
        <item x="62"/>
        <item x="136"/>
        <item x="27"/>
        <item x="22"/>
        <item x="16"/>
        <item x="28"/>
        <item x="163"/>
        <item x="54"/>
        <item x="160"/>
        <item x="147"/>
        <item x="72"/>
        <item x="88"/>
        <item x="165"/>
        <item x="86"/>
        <item x="140"/>
        <item x="116"/>
        <item x="89"/>
        <item x="155"/>
        <item x="148"/>
        <item x="138"/>
        <item x="141"/>
        <item x="8"/>
        <item x="70"/>
        <item x="122"/>
        <item x="113"/>
        <item x="83"/>
        <item x="145"/>
        <item x="81"/>
        <item x="9"/>
        <item x="34"/>
        <item x="142"/>
        <item x="117"/>
        <item x="20"/>
        <item x="156"/>
        <item x="102"/>
        <item x="164"/>
        <item x="68"/>
        <item x="133"/>
        <item x="123"/>
        <item t="default"/>
      </items>
      <autoSortScope>
        <pivotArea dataOnly="0" outline="0" fieldPosition="0">
          <references count="1">
            <reference field="4294967294" count="1" selected="0">
              <x v="0"/>
            </reference>
          </references>
        </pivotArea>
      </autoSortScope>
    </pivotField>
    <pivotField axis="axisPage" multipleItemSelectionAllowed="1" showAll="0">
      <items count="10">
        <item x="8"/>
        <item x="4"/>
        <item x="0"/>
        <item x="2"/>
        <item x="1"/>
        <item x="7"/>
        <item x="5"/>
        <item x="6"/>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0"/>
  </rowFields>
  <rowItems count="21">
    <i>
      <x v="43"/>
    </i>
    <i>
      <x v="124"/>
    </i>
    <i>
      <x v="25"/>
    </i>
    <i>
      <x v="135"/>
    </i>
    <i>
      <x v="30"/>
    </i>
    <i>
      <x v="40"/>
    </i>
    <i>
      <x v="94"/>
    </i>
    <i>
      <x v="63"/>
    </i>
    <i>
      <x v="91"/>
    </i>
    <i>
      <x v="54"/>
    </i>
    <i>
      <x v="159"/>
    </i>
    <i>
      <x v="152"/>
    </i>
    <i>
      <x v="7"/>
    </i>
    <i>
      <x v="18"/>
    </i>
    <i>
      <x v="2"/>
    </i>
    <i>
      <x v="90"/>
    </i>
    <i>
      <x v="111"/>
    </i>
    <i>
      <x v="89"/>
    </i>
    <i>
      <x v="6"/>
    </i>
    <i>
      <x v="107"/>
    </i>
    <i t="grand">
      <x/>
    </i>
  </rowItems>
  <colItems count="1">
    <i/>
  </colItems>
  <pageFields count="1">
    <pageField fld="1" hier="-1"/>
  </pageFields>
  <dataFields count="1">
    <dataField name="Sum of Value imported in 2024 (USD thousand)" fld="2"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107"/>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9B9A60-9559-44B0-BC2B-8F2FAD48C58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3:E48" firstHeaderRow="1" firstDataRow="1" firstDataCol="1" rowPageCount="1" colPageCount="1"/>
  <pivotFields count="15">
    <pivotField axis="axisRow" showAll="0" measureFilter="1" sortType="descending">
      <items count="171">
        <item x="63"/>
        <item x="129"/>
        <item x="5"/>
        <item x="108"/>
        <item x="40"/>
        <item x="82"/>
        <item x="1"/>
        <item x="7"/>
        <item x="51"/>
        <item x="53"/>
        <item x="98"/>
        <item x="52"/>
        <item x="25"/>
        <item x="75"/>
        <item x="120"/>
        <item x="61"/>
        <item x="49"/>
        <item x="131"/>
        <item x="6"/>
        <item x="144"/>
        <item x="24"/>
        <item x="23"/>
        <item x="151"/>
        <item x="149"/>
        <item x="79"/>
        <item x="17"/>
        <item x="41"/>
        <item x="150"/>
        <item x="73"/>
        <item x="36"/>
        <item x="15"/>
        <item x="154"/>
        <item x="60"/>
        <item x="84"/>
        <item x="57"/>
        <item x="169"/>
        <item x="134"/>
        <item x="32"/>
        <item x="65"/>
        <item x="107"/>
        <item x="14"/>
        <item x="29"/>
        <item x="33"/>
        <item x="19"/>
        <item x="77"/>
        <item x="66"/>
        <item x="80"/>
        <item x="43"/>
        <item x="104"/>
        <item x="39"/>
        <item x="44"/>
        <item x="90"/>
        <item x="59"/>
        <item x="167"/>
        <item x="10"/>
        <item x="103"/>
        <item x="95"/>
        <item x="106"/>
        <item x="132"/>
        <item x="67"/>
        <item x="126"/>
        <item x="127"/>
        <item x="110"/>
        <item x="12"/>
        <item x="87"/>
        <item x="166"/>
        <item x="143"/>
        <item x="94"/>
        <item x="159"/>
        <item x="26"/>
        <item x="121"/>
        <item x="114"/>
        <item x="125"/>
        <item x="124"/>
        <item x="85"/>
        <item x="101"/>
        <item x="146"/>
        <item x="118"/>
        <item x="105"/>
        <item x="50"/>
        <item x="93"/>
        <item x="99"/>
        <item x="71"/>
        <item x="153"/>
        <item x="69"/>
        <item x="42"/>
        <item x="35"/>
        <item x="30"/>
        <item x="112"/>
        <item x="2"/>
        <item x="4"/>
        <item x="11"/>
        <item x="92"/>
        <item x="78"/>
        <item x="13"/>
        <item x="21"/>
        <item x="115"/>
        <item x="38"/>
        <item x="97"/>
        <item x="109"/>
        <item x="161"/>
        <item x="139"/>
        <item x="55"/>
        <item x="46"/>
        <item x="158"/>
        <item x="64"/>
        <item x="45"/>
        <item x="0"/>
        <item x="111"/>
        <item x="157"/>
        <item x="152"/>
        <item x="3"/>
        <item x="47"/>
        <item x="128"/>
        <item x="130"/>
        <item x="100"/>
        <item x="37"/>
        <item x="162"/>
        <item x="58"/>
        <item x="48"/>
        <item x="31"/>
        <item x="74"/>
        <item x="135"/>
        <item x="56"/>
        <item x="18"/>
        <item x="119"/>
        <item x="168"/>
        <item x="137"/>
        <item x="91"/>
        <item x="96"/>
        <item x="76"/>
        <item x="62"/>
        <item x="136"/>
        <item x="27"/>
        <item x="22"/>
        <item x="16"/>
        <item x="28"/>
        <item x="163"/>
        <item x="54"/>
        <item x="160"/>
        <item x="147"/>
        <item x="72"/>
        <item x="88"/>
        <item x="165"/>
        <item x="86"/>
        <item x="140"/>
        <item x="116"/>
        <item x="89"/>
        <item x="155"/>
        <item x="148"/>
        <item x="138"/>
        <item x="141"/>
        <item x="8"/>
        <item x="70"/>
        <item x="122"/>
        <item x="113"/>
        <item x="83"/>
        <item x="145"/>
        <item x="81"/>
        <item x="9"/>
        <item x="34"/>
        <item x="142"/>
        <item x="117"/>
        <item x="20"/>
        <item x="156"/>
        <item x="102"/>
        <item x="164"/>
        <item x="68"/>
        <item x="133"/>
        <item x="123"/>
        <item t="default"/>
      </items>
      <autoSortScope>
        <pivotArea dataOnly="0" outline="0" fieldPosition="0">
          <references count="1">
            <reference field="4294967294" count="1" selected="0">
              <x v="0"/>
            </reference>
          </references>
        </pivotArea>
      </autoSortScope>
    </pivotField>
    <pivotField axis="axisPage" multipleItemSelectionAllowed="1" showAll="0">
      <items count="10">
        <item x="8"/>
        <item x="4"/>
        <item x="0"/>
        <item x="2"/>
        <item x="1"/>
        <item x="7"/>
        <item x="5"/>
        <item x="6"/>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
        <item x="1"/>
        <item x="0"/>
        <item t="default"/>
      </items>
    </pivotField>
  </pivotFields>
  <rowFields count="1">
    <field x="0"/>
  </rowFields>
  <rowItems count="15">
    <i>
      <x v="126"/>
    </i>
    <i>
      <x v="157"/>
    </i>
    <i>
      <x v="148"/>
    </i>
    <i>
      <x v="35"/>
    </i>
    <i>
      <x v="164"/>
    </i>
    <i>
      <x v="63"/>
    </i>
    <i>
      <x v="137"/>
    </i>
    <i>
      <x v="65"/>
    </i>
    <i>
      <x v="149"/>
    </i>
    <i>
      <x v="76"/>
    </i>
    <i>
      <x v="161"/>
    </i>
    <i>
      <x v="83"/>
    </i>
    <i>
      <x v="23"/>
    </i>
    <i>
      <x v="100"/>
    </i>
    <i t="grand">
      <x/>
    </i>
  </rowItems>
  <colItems count="1">
    <i/>
  </colItems>
  <pageFields count="1">
    <pageField fld="1" hier="-1"/>
  </pageFields>
  <dataFields count="1">
    <dataField name="Sum of Concentration of supplying countries" fld="11" baseField="0" baseItem="0"/>
  </dataField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D87A82-92D6-450D-837E-ABA2175B4A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24:B37" firstHeaderRow="1" firstDataRow="1" firstDataCol="1"/>
  <pivotFields count="8">
    <pivotField axis="axisRow" showAll="0" sortType="ascending">
      <items count="13">
        <item x="0"/>
        <item x="3"/>
        <item x="10"/>
        <item x="1"/>
        <item x="8"/>
        <item x="2"/>
        <item x="5"/>
        <item x="6"/>
        <item x="7"/>
        <item x="9"/>
        <item x="4"/>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4">
        <item x="1"/>
        <item x="0"/>
        <item x="2"/>
        <item t="default"/>
      </items>
    </pivotField>
    <pivotField showAll="0">
      <items count="3">
        <item x="1"/>
        <item x="0"/>
        <item t="default"/>
      </items>
    </pivotField>
  </pivotFields>
  <rowFields count="1">
    <field x="0"/>
  </rowFields>
  <rowItems count="13">
    <i>
      <x v="2"/>
    </i>
    <i>
      <x v="3"/>
    </i>
    <i>
      <x v="9"/>
    </i>
    <i>
      <x v="5"/>
    </i>
    <i>
      <x v="10"/>
    </i>
    <i>
      <x v="8"/>
    </i>
    <i>
      <x v="7"/>
    </i>
    <i>
      <x/>
    </i>
    <i>
      <x v="11"/>
    </i>
    <i>
      <x v="4"/>
    </i>
    <i>
      <x v="1"/>
    </i>
    <i>
      <x v="6"/>
    </i>
    <i t="grand">
      <x/>
    </i>
  </rowItems>
  <colItems count="1">
    <i/>
  </colItems>
  <dataFields count="1">
    <dataField name="Average of Total Price " fld="4" subtotal="average"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6"/>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25"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BE4524F-09A0-4629-B9B0-A45AFD1FE3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5" firstHeaderRow="1" firstDataRow="1" firstDataCol="1"/>
  <pivotFields count="8">
    <pivotField axis="axisRow" showAll="0" sortType="descending">
      <items count="13">
        <item x="0"/>
        <item x="3"/>
        <item x="10"/>
        <item x="1"/>
        <item x="8"/>
        <item x="2"/>
        <item x="5"/>
        <item x="6"/>
        <item x="7"/>
        <item x="9"/>
        <item x="4"/>
        <item h="1"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4">
        <item x="1"/>
        <item x="0"/>
        <item x="2"/>
        <item t="default"/>
      </items>
    </pivotField>
    <pivotField showAll="0">
      <items count="3">
        <item x="1"/>
        <item x="0"/>
        <item t="default"/>
      </items>
    </pivotField>
  </pivotFields>
  <rowFields count="1">
    <field x="0"/>
  </rowFields>
  <rowItems count="12">
    <i>
      <x v="6"/>
    </i>
    <i>
      <x v="1"/>
    </i>
    <i>
      <x v="4"/>
    </i>
    <i>
      <x/>
    </i>
    <i>
      <x v="7"/>
    </i>
    <i>
      <x v="8"/>
    </i>
    <i>
      <x v="10"/>
    </i>
    <i>
      <x v="5"/>
    </i>
    <i>
      <x v="9"/>
    </i>
    <i>
      <x v="3"/>
    </i>
    <i>
      <x v="2"/>
    </i>
    <i t="grand">
      <x/>
    </i>
  </rowItems>
  <colItems count="1">
    <i/>
  </colItems>
  <dataFields count="1">
    <dataField name="Sum of Price" fld="2"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EFD2245-15BC-400C-BDE9-0EC43351AAE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I25:L39" firstHeaderRow="1" firstDataRow="2" firstDataCol="1"/>
  <pivotFields count="8">
    <pivotField axis="axisRow" dataField="1" showAll="0" measureFilter="1">
      <items count="13">
        <item x="0"/>
        <item x="3"/>
        <item x="10"/>
        <item x="1"/>
        <item x="8"/>
        <item x="2"/>
        <item x="5"/>
        <item x="6"/>
        <item x="7"/>
        <item x="9"/>
        <item x="4"/>
        <item x="11"/>
        <item t="default"/>
      </items>
    </pivotField>
    <pivotField showAll="0"/>
    <pivotField showAll="0"/>
    <pivotField showAll="0"/>
    <pivotField showAll="0"/>
    <pivotField showAll="0"/>
    <pivotField showAll="0">
      <items count="4">
        <item x="1"/>
        <item x="0"/>
        <item x="2"/>
        <item t="default"/>
      </items>
    </pivotField>
    <pivotField axis="axisCol" showAll="0">
      <items count="3">
        <item x="1"/>
        <item x="0"/>
        <item t="default"/>
      </items>
    </pivotField>
  </pivotFields>
  <rowFields count="1">
    <field x="0"/>
  </rowFields>
  <rowItems count="13">
    <i>
      <x/>
    </i>
    <i>
      <x v="1"/>
    </i>
    <i>
      <x v="2"/>
    </i>
    <i>
      <x v="3"/>
    </i>
    <i>
      <x v="4"/>
    </i>
    <i>
      <x v="5"/>
    </i>
    <i>
      <x v="6"/>
    </i>
    <i>
      <x v="7"/>
    </i>
    <i>
      <x v="8"/>
    </i>
    <i>
      <x v="9"/>
    </i>
    <i>
      <x v="10"/>
    </i>
    <i>
      <x v="11"/>
    </i>
    <i t="grand">
      <x/>
    </i>
  </rowItems>
  <colFields count="1">
    <field x="7"/>
  </colFields>
  <colItems count="3">
    <i>
      <x/>
    </i>
    <i>
      <x v="1"/>
    </i>
    <i t="grand">
      <x/>
    </i>
  </colItems>
  <dataFields count="1">
    <dataField name="Distinct Count of Compitatores" fld="0" subtotal="count" baseField="0" baseItem="1"/>
  </dataFields>
  <chartFormats count="76">
    <chartFormat chart="5" format="0" series="1">
      <pivotArea type="data" outline="0" fieldPosition="0">
        <references count="2">
          <reference field="4294967294" count="1" selected="0">
            <x v="0"/>
          </reference>
          <reference field="7" count="1" selected="0">
            <x v="0"/>
          </reference>
        </references>
      </pivotArea>
    </chartFormat>
    <chartFormat chart="5" format="1" series="1">
      <pivotArea type="data" outline="0" fieldPosition="0">
        <references count="2">
          <reference field="4294967294" count="1" selected="0">
            <x v="0"/>
          </reference>
          <reference field="7" count="1" selected="0">
            <x v="1"/>
          </reference>
        </references>
      </pivotArea>
    </chartFormat>
    <chartFormat chart="5" format="2">
      <pivotArea type="data" outline="0" fieldPosition="0">
        <references count="3">
          <reference field="4294967294" count="1" selected="0">
            <x v="0"/>
          </reference>
          <reference field="0" count="1" selected="0">
            <x v="0"/>
          </reference>
          <reference field="7" count="1" selected="0">
            <x v="0"/>
          </reference>
        </references>
      </pivotArea>
    </chartFormat>
    <chartFormat chart="5" format="3">
      <pivotArea type="data" outline="0" fieldPosition="0">
        <references count="3">
          <reference field="4294967294" count="1" selected="0">
            <x v="0"/>
          </reference>
          <reference field="0" count="1" selected="0">
            <x v="1"/>
          </reference>
          <reference field="7" count="1" selected="0">
            <x v="0"/>
          </reference>
        </references>
      </pivotArea>
    </chartFormat>
    <chartFormat chart="5" format="4">
      <pivotArea type="data" outline="0" fieldPosition="0">
        <references count="3">
          <reference field="4294967294" count="1" selected="0">
            <x v="0"/>
          </reference>
          <reference field="0" count="1" selected="0">
            <x v="2"/>
          </reference>
          <reference field="7" count="1" selected="0">
            <x v="0"/>
          </reference>
        </references>
      </pivotArea>
    </chartFormat>
    <chartFormat chart="5" format="5">
      <pivotArea type="data" outline="0" fieldPosition="0">
        <references count="3">
          <reference field="4294967294" count="1" selected="0">
            <x v="0"/>
          </reference>
          <reference field="0" count="1" selected="0">
            <x v="3"/>
          </reference>
          <reference field="7" count="1" selected="0">
            <x v="0"/>
          </reference>
        </references>
      </pivotArea>
    </chartFormat>
    <chartFormat chart="5" format="6">
      <pivotArea type="data" outline="0" fieldPosition="0">
        <references count="3">
          <reference field="4294967294" count="1" selected="0">
            <x v="0"/>
          </reference>
          <reference field="0" count="1" selected="0">
            <x v="4"/>
          </reference>
          <reference field="7" count="1" selected="0">
            <x v="0"/>
          </reference>
        </references>
      </pivotArea>
    </chartFormat>
    <chartFormat chart="5" format="7">
      <pivotArea type="data" outline="0" fieldPosition="0">
        <references count="3">
          <reference field="4294967294" count="1" selected="0">
            <x v="0"/>
          </reference>
          <reference field="0" count="1" selected="0">
            <x v="5"/>
          </reference>
          <reference field="7" count="1" selected="0">
            <x v="0"/>
          </reference>
        </references>
      </pivotArea>
    </chartFormat>
    <chartFormat chart="5" format="8">
      <pivotArea type="data" outline="0" fieldPosition="0">
        <references count="3">
          <reference field="4294967294" count="1" selected="0">
            <x v="0"/>
          </reference>
          <reference field="0" count="1" selected="0">
            <x v="6"/>
          </reference>
          <reference field="7" count="1" selected="0">
            <x v="0"/>
          </reference>
        </references>
      </pivotArea>
    </chartFormat>
    <chartFormat chart="5" format="9">
      <pivotArea type="data" outline="0" fieldPosition="0">
        <references count="3">
          <reference field="4294967294" count="1" selected="0">
            <x v="0"/>
          </reference>
          <reference field="0" count="1" selected="0">
            <x v="7"/>
          </reference>
          <reference field="7" count="1" selected="0">
            <x v="0"/>
          </reference>
        </references>
      </pivotArea>
    </chartFormat>
    <chartFormat chart="5" format="10">
      <pivotArea type="data" outline="0" fieldPosition="0">
        <references count="3">
          <reference field="4294967294" count="1" selected="0">
            <x v="0"/>
          </reference>
          <reference field="0" count="1" selected="0">
            <x v="8"/>
          </reference>
          <reference field="7" count="1" selected="0">
            <x v="0"/>
          </reference>
        </references>
      </pivotArea>
    </chartFormat>
    <chartFormat chart="5" format="11">
      <pivotArea type="data" outline="0" fieldPosition="0">
        <references count="3">
          <reference field="4294967294" count="1" selected="0">
            <x v="0"/>
          </reference>
          <reference field="0" count="1" selected="0">
            <x v="9"/>
          </reference>
          <reference field="7" count="1" selected="0">
            <x v="0"/>
          </reference>
        </references>
      </pivotArea>
    </chartFormat>
    <chartFormat chart="5" format="12">
      <pivotArea type="data" outline="0" fieldPosition="0">
        <references count="3">
          <reference field="4294967294" count="1" selected="0">
            <x v="0"/>
          </reference>
          <reference field="0" count="1" selected="0">
            <x v="10"/>
          </reference>
          <reference field="7" count="1" selected="0">
            <x v="0"/>
          </reference>
        </references>
      </pivotArea>
    </chartFormat>
    <chartFormat chart="5" format="13">
      <pivotArea type="data" outline="0" fieldPosition="0">
        <references count="3">
          <reference field="4294967294" count="1" selected="0">
            <x v="0"/>
          </reference>
          <reference field="0" count="1" selected="0">
            <x v="0"/>
          </reference>
          <reference field="7" count="1" selected="0">
            <x v="1"/>
          </reference>
        </references>
      </pivotArea>
    </chartFormat>
    <chartFormat chart="5" format="14">
      <pivotArea type="data" outline="0" fieldPosition="0">
        <references count="3">
          <reference field="4294967294" count="1" selected="0">
            <x v="0"/>
          </reference>
          <reference field="0" count="1" selected="0">
            <x v="1"/>
          </reference>
          <reference field="7" count="1" selected="0">
            <x v="1"/>
          </reference>
        </references>
      </pivotArea>
    </chartFormat>
    <chartFormat chart="5" format="15">
      <pivotArea type="data" outline="0" fieldPosition="0">
        <references count="3">
          <reference field="4294967294" count="1" selected="0">
            <x v="0"/>
          </reference>
          <reference field="0" count="1" selected="0">
            <x v="2"/>
          </reference>
          <reference field="7" count="1" selected="0">
            <x v="1"/>
          </reference>
        </references>
      </pivotArea>
    </chartFormat>
    <chartFormat chart="5" format="16">
      <pivotArea type="data" outline="0" fieldPosition="0">
        <references count="3">
          <reference field="4294967294" count="1" selected="0">
            <x v="0"/>
          </reference>
          <reference field="0" count="1" selected="0">
            <x v="3"/>
          </reference>
          <reference field="7" count="1" selected="0">
            <x v="1"/>
          </reference>
        </references>
      </pivotArea>
    </chartFormat>
    <chartFormat chart="5" format="17">
      <pivotArea type="data" outline="0" fieldPosition="0">
        <references count="3">
          <reference field="4294967294" count="1" selected="0">
            <x v="0"/>
          </reference>
          <reference field="0" count="1" selected="0">
            <x v="4"/>
          </reference>
          <reference field="7" count="1" selected="0">
            <x v="1"/>
          </reference>
        </references>
      </pivotArea>
    </chartFormat>
    <chartFormat chart="5" format="18">
      <pivotArea type="data" outline="0" fieldPosition="0">
        <references count="3">
          <reference field="4294967294" count="1" selected="0">
            <x v="0"/>
          </reference>
          <reference field="0" count="1" selected="0">
            <x v="5"/>
          </reference>
          <reference field="7" count="1" selected="0">
            <x v="1"/>
          </reference>
        </references>
      </pivotArea>
    </chartFormat>
    <chartFormat chart="5" format="19">
      <pivotArea type="data" outline="0" fieldPosition="0">
        <references count="3">
          <reference field="4294967294" count="1" selected="0">
            <x v="0"/>
          </reference>
          <reference field="0" count="1" selected="0">
            <x v="6"/>
          </reference>
          <reference field="7" count="1" selected="0">
            <x v="1"/>
          </reference>
        </references>
      </pivotArea>
    </chartFormat>
    <chartFormat chart="5" format="20">
      <pivotArea type="data" outline="0" fieldPosition="0">
        <references count="3">
          <reference field="4294967294" count="1" selected="0">
            <x v="0"/>
          </reference>
          <reference field="0" count="1" selected="0">
            <x v="7"/>
          </reference>
          <reference field="7" count="1" selected="0">
            <x v="1"/>
          </reference>
        </references>
      </pivotArea>
    </chartFormat>
    <chartFormat chart="5" format="21">
      <pivotArea type="data" outline="0" fieldPosition="0">
        <references count="3">
          <reference field="4294967294" count="1" selected="0">
            <x v="0"/>
          </reference>
          <reference field="0" count="1" selected="0">
            <x v="8"/>
          </reference>
          <reference field="7" count="1" selected="0">
            <x v="1"/>
          </reference>
        </references>
      </pivotArea>
    </chartFormat>
    <chartFormat chart="5" format="22">
      <pivotArea type="data" outline="0" fieldPosition="0">
        <references count="3">
          <reference field="4294967294" count="1" selected="0">
            <x v="0"/>
          </reference>
          <reference field="0" count="1" selected="0">
            <x v="9"/>
          </reference>
          <reference field="7" count="1" selected="0">
            <x v="1"/>
          </reference>
        </references>
      </pivotArea>
    </chartFormat>
    <chartFormat chart="5" format="23">
      <pivotArea type="data" outline="0" fieldPosition="0">
        <references count="3">
          <reference field="4294967294" count="1" selected="0">
            <x v="0"/>
          </reference>
          <reference field="0" count="1" selected="0">
            <x v="10"/>
          </reference>
          <reference field="7" count="1" selected="0">
            <x v="1"/>
          </reference>
        </references>
      </pivotArea>
    </chartFormat>
    <chartFormat chart="12" format="48" series="1">
      <pivotArea type="data" outline="0" fieldPosition="0">
        <references count="2">
          <reference field="4294967294" count="1" selected="0">
            <x v="0"/>
          </reference>
          <reference field="7" count="1" selected="0">
            <x v="0"/>
          </reference>
        </references>
      </pivotArea>
    </chartFormat>
    <chartFormat chart="12" format="49">
      <pivotArea type="data" outline="0" fieldPosition="0">
        <references count="3">
          <reference field="4294967294" count="1" selected="0">
            <x v="0"/>
          </reference>
          <reference field="0" count="1" selected="0">
            <x v="0"/>
          </reference>
          <reference field="7" count="1" selected="0">
            <x v="0"/>
          </reference>
        </references>
      </pivotArea>
    </chartFormat>
    <chartFormat chart="12" format="50">
      <pivotArea type="data" outline="0" fieldPosition="0">
        <references count="3">
          <reference field="4294967294" count="1" selected="0">
            <x v="0"/>
          </reference>
          <reference field="0" count="1" selected="0">
            <x v="1"/>
          </reference>
          <reference field="7" count="1" selected="0">
            <x v="0"/>
          </reference>
        </references>
      </pivotArea>
    </chartFormat>
    <chartFormat chart="12" format="51">
      <pivotArea type="data" outline="0" fieldPosition="0">
        <references count="3">
          <reference field="4294967294" count="1" selected="0">
            <x v="0"/>
          </reference>
          <reference field="0" count="1" selected="0">
            <x v="2"/>
          </reference>
          <reference field="7" count="1" selected="0">
            <x v="0"/>
          </reference>
        </references>
      </pivotArea>
    </chartFormat>
    <chartFormat chart="12" format="52">
      <pivotArea type="data" outline="0" fieldPosition="0">
        <references count="3">
          <reference field="4294967294" count="1" selected="0">
            <x v="0"/>
          </reference>
          <reference field="0" count="1" selected="0">
            <x v="3"/>
          </reference>
          <reference field="7" count="1" selected="0">
            <x v="0"/>
          </reference>
        </references>
      </pivotArea>
    </chartFormat>
    <chartFormat chart="12" format="53">
      <pivotArea type="data" outline="0" fieldPosition="0">
        <references count="3">
          <reference field="4294967294" count="1" selected="0">
            <x v="0"/>
          </reference>
          <reference field="0" count="1" selected="0">
            <x v="4"/>
          </reference>
          <reference field="7" count="1" selected="0">
            <x v="0"/>
          </reference>
        </references>
      </pivotArea>
    </chartFormat>
    <chartFormat chart="12" format="54">
      <pivotArea type="data" outline="0" fieldPosition="0">
        <references count="3">
          <reference field="4294967294" count="1" selected="0">
            <x v="0"/>
          </reference>
          <reference field="0" count="1" selected="0">
            <x v="5"/>
          </reference>
          <reference field="7" count="1" selected="0">
            <x v="0"/>
          </reference>
        </references>
      </pivotArea>
    </chartFormat>
    <chartFormat chart="12" format="55">
      <pivotArea type="data" outline="0" fieldPosition="0">
        <references count="3">
          <reference field="4294967294" count="1" selected="0">
            <x v="0"/>
          </reference>
          <reference field="0" count="1" selected="0">
            <x v="6"/>
          </reference>
          <reference field="7" count="1" selected="0">
            <x v="0"/>
          </reference>
        </references>
      </pivotArea>
    </chartFormat>
    <chartFormat chart="12" format="56">
      <pivotArea type="data" outline="0" fieldPosition="0">
        <references count="3">
          <reference field="4294967294" count="1" selected="0">
            <x v="0"/>
          </reference>
          <reference field="0" count="1" selected="0">
            <x v="7"/>
          </reference>
          <reference field="7" count="1" selected="0">
            <x v="0"/>
          </reference>
        </references>
      </pivotArea>
    </chartFormat>
    <chartFormat chart="12" format="57">
      <pivotArea type="data" outline="0" fieldPosition="0">
        <references count="3">
          <reference field="4294967294" count="1" selected="0">
            <x v="0"/>
          </reference>
          <reference field="0" count="1" selected="0">
            <x v="8"/>
          </reference>
          <reference field="7" count="1" selected="0">
            <x v="0"/>
          </reference>
        </references>
      </pivotArea>
    </chartFormat>
    <chartFormat chart="12" format="58">
      <pivotArea type="data" outline="0" fieldPosition="0">
        <references count="3">
          <reference field="4294967294" count="1" selected="0">
            <x v="0"/>
          </reference>
          <reference field="0" count="1" selected="0">
            <x v="9"/>
          </reference>
          <reference field="7" count="1" selected="0">
            <x v="0"/>
          </reference>
        </references>
      </pivotArea>
    </chartFormat>
    <chartFormat chart="12" format="59">
      <pivotArea type="data" outline="0" fieldPosition="0">
        <references count="3">
          <reference field="4294967294" count="1" selected="0">
            <x v="0"/>
          </reference>
          <reference field="0" count="1" selected="0">
            <x v="10"/>
          </reference>
          <reference field="7" count="1" selected="0">
            <x v="0"/>
          </reference>
        </references>
      </pivotArea>
    </chartFormat>
    <chartFormat chart="12" format="60" series="1">
      <pivotArea type="data" outline="0" fieldPosition="0">
        <references count="2">
          <reference field="4294967294" count="1" selected="0">
            <x v="0"/>
          </reference>
          <reference field="7" count="1" selected="0">
            <x v="1"/>
          </reference>
        </references>
      </pivotArea>
    </chartFormat>
    <chartFormat chart="12" format="61">
      <pivotArea type="data" outline="0" fieldPosition="0">
        <references count="3">
          <reference field="4294967294" count="1" selected="0">
            <x v="0"/>
          </reference>
          <reference field="0" count="1" selected="0">
            <x v="0"/>
          </reference>
          <reference field="7" count="1" selected="0">
            <x v="1"/>
          </reference>
        </references>
      </pivotArea>
    </chartFormat>
    <chartFormat chart="12" format="62">
      <pivotArea type="data" outline="0" fieldPosition="0">
        <references count="3">
          <reference field="4294967294" count="1" selected="0">
            <x v="0"/>
          </reference>
          <reference field="0" count="1" selected="0">
            <x v="1"/>
          </reference>
          <reference field="7" count="1" selected="0">
            <x v="1"/>
          </reference>
        </references>
      </pivotArea>
    </chartFormat>
    <chartFormat chart="12" format="63">
      <pivotArea type="data" outline="0" fieldPosition="0">
        <references count="3">
          <reference field="4294967294" count="1" selected="0">
            <x v="0"/>
          </reference>
          <reference field="0" count="1" selected="0">
            <x v="2"/>
          </reference>
          <reference field="7" count="1" selected="0">
            <x v="1"/>
          </reference>
        </references>
      </pivotArea>
    </chartFormat>
    <chartFormat chart="12" format="64">
      <pivotArea type="data" outline="0" fieldPosition="0">
        <references count="3">
          <reference field="4294967294" count="1" selected="0">
            <x v="0"/>
          </reference>
          <reference field="0" count="1" selected="0">
            <x v="3"/>
          </reference>
          <reference field="7" count="1" selected="0">
            <x v="1"/>
          </reference>
        </references>
      </pivotArea>
    </chartFormat>
    <chartFormat chart="12" format="65">
      <pivotArea type="data" outline="0" fieldPosition="0">
        <references count="3">
          <reference field="4294967294" count="1" selected="0">
            <x v="0"/>
          </reference>
          <reference field="0" count="1" selected="0">
            <x v="4"/>
          </reference>
          <reference field="7" count="1" selected="0">
            <x v="1"/>
          </reference>
        </references>
      </pivotArea>
    </chartFormat>
    <chartFormat chart="12" format="66">
      <pivotArea type="data" outline="0" fieldPosition="0">
        <references count="3">
          <reference field="4294967294" count="1" selected="0">
            <x v="0"/>
          </reference>
          <reference field="0" count="1" selected="0">
            <x v="5"/>
          </reference>
          <reference field="7" count="1" selected="0">
            <x v="1"/>
          </reference>
        </references>
      </pivotArea>
    </chartFormat>
    <chartFormat chart="12" format="67">
      <pivotArea type="data" outline="0" fieldPosition="0">
        <references count="3">
          <reference field="4294967294" count="1" selected="0">
            <x v="0"/>
          </reference>
          <reference field="0" count="1" selected="0">
            <x v="6"/>
          </reference>
          <reference field="7" count="1" selected="0">
            <x v="1"/>
          </reference>
        </references>
      </pivotArea>
    </chartFormat>
    <chartFormat chart="12" format="68">
      <pivotArea type="data" outline="0" fieldPosition="0">
        <references count="3">
          <reference field="4294967294" count="1" selected="0">
            <x v="0"/>
          </reference>
          <reference field="0" count="1" selected="0">
            <x v="7"/>
          </reference>
          <reference field="7" count="1" selected="0">
            <x v="1"/>
          </reference>
        </references>
      </pivotArea>
    </chartFormat>
    <chartFormat chart="12" format="69">
      <pivotArea type="data" outline="0" fieldPosition="0">
        <references count="3">
          <reference field="4294967294" count="1" selected="0">
            <x v="0"/>
          </reference>
          <reference field="0" count="1" selected="0">
            <x v="8"/>
          </reference>
          <reference field="7" count="1" selected="0">
            <x v="1"/>
          </reference>
        </references>
      </pivotArea>
    </chartFormat>
    <chartFormat chart="12" format="70">
      <pivotArea type="data" outline="0" fieldPosition="0">
        <references count="3">
          <reference field="4294967294" count="1" selected="0">
            <x v="0"/>
          </reference>
          <reference field="0" count="1" selected="0">
            <x v="9"/>
          </reference>
          <reference field="7" count="1" selected="0">
            <x v="1"/>
          </reference>
        </references>
      </pivotArea>
    </chartFormat>
    <chartFormat chart="12" format="71">
      <pivotArea type="data" outline="0" fieldPosition="0">
        <references count="3">
          <reference field="4294967294" count="1" selected="0">
            <x v="0"/>
          </reference>
          <reference field="0" count="1" selected="0">
            <x v="10"/>
          </reference>
          <reference field="7" count="1" selected="0">
            <x v="1"/>
          </reference>
        </references>
      </pivotArea>
    </chartFormat>
    <chartFormat chart="12" format="72" series="1">
      <pivotArea type="data" outline="0" fieldPosition="0">
        <references count="1">
          <reference field="4294967294" count="1" selected="0">
            <x v="0"/>
          </reference>
        </references>
      </pivotArea>
    </chartFormat>
    <chartFormat chart="5" format="24" series="1">
      <pivotArea type="data" outline="0" fieldPosition="0">
        <references count="1">
          <reference field="4294967294" count="1" selected="0">
            <x v="0"/>
          </reference>
        </references>
      </pivotArea>
    </chartFormat>
    <chartFormat chart="36" format="99" series="1">
      <pivotArea type="data" outline="0" fieldPosition="0">
        <references count="2">
          <reference field="4294967294" count="1" selected="0">
            <x v="0"/>
          </reference>
          <reference field="7" count="1" selected="0">
            <x v="0"/>
          </reference>
        </references>
      </pivotArea>
    </chartFormat>
    <chartFormat chart="36" format="100">
      <pivotArea type="data" outline="0" fieldPosition="0">
        <references count="3">
          <reference field="4294967294" count="1" selected="0">
            <x v="0"/>
          </reference>
          <reference field="0" count="1" selected="0">
            <x v="0"/>
          </reference>
          <reference field="7" count="1" selected="0">
            <x v="0"/>
          </reference>
        </references>
      </pivotArea>
    </chartFormat>
    <chartFormat chart="36" format="101">
      <pivotArea type="data" outline="0" fieldPosition="0">
        <references count="3">
          <reference field="4294967294" count="1" selected="0">
            <x v="0"/>
          </reference>
          <reference field="0" count="1" selected="0">
            <x v="1"/>
          </reference>
          <reference field="7" count="1" selected="0">
            <x v="0"/>
          </reference>
        </references>
      </pivotArea>
    </chartFormat>
    <chartFormat chart="36" format="102">
      <pivotArea type="data" outline="0" fieldPosition="0">
        <references count="3">
          <reference field="4294967294" count="1" selected="0">
            <x v="0"/>
          </reference>
          <reference field="0" count="1" selected="0">
            <x v="2"/>
          </reference>
          <reference field="7" count="1" selected="0">
            <x v="0"/>
          </reference>
        </references>
      </pivotArea>
    </chartFormat>
    <chartFormat chart="36" format="103">
      <pivotArea type="data" outline="0" fieldPosition="0">
        <references count="3">
          <reference field="4294967294" count="1" selected="0">
            <x v="0"/>
          </reference>
          <reference field="0" count="1" selected="0">
            <x v="3"/>
          </reference>
          <reference field="7" count="1" selected="0">
            <x v="0"/>
          </reference>
        </references>
      </pivotArea>
    </chartFormat>
    <chartFormat chart="36" format="104">
      <pivotArea type="data" outline="0" fieldPosition="0">
        <references count="3">
          <reference field="4294967294" count="1" selected="0">
            <x v="0"/>
          </reference>
          <reference field="0" count="1" selected="0">
            <x v="4"/>
          </reference>
          <reference field="7" count="1" selected="0">
            <x v="0"/>
          </reference>
        </references>
      </pivotArea>
    </chartFormat>
    <chartFormat chart="36" format="105">
      <pivotArea type="data" outline="0" fieldPosition="0">
        <references count="3">
          <reference field="4294967294" count="1" selected="0">
            <x v="0"/>
          </reference>
          <reference field="0" count="1" selected="0">
            <x v="5"/>
          </reference>
          <reference field="7" count="1" selected="0">
            <x v="0"/>
          </reference>
        </references>
      </pivotArea>
    </chartFormat>
    <chartFormat chart="36" format="106">
      <pivotArea type="data" outline="0" fieldPosition="0">
        <references count="3">
          <reference field="4294967294" count="1" selected="0">
            <x v="0"/>
          </reference>
          <reference field="0" count="1" selected="0">
            <x v="6"/>
          </reference>
          <reference field="7" count="1" selected="0">
            <x v="0"/>
          </reference>
        </references>
      </pivotArea>
    </chartFormat>
    <chartFormat chart="36" format="107">
      <pivotArea type="data" outline="0" fieldPosition="0">
        <references count="3">
          <reference field="4294967294" count="1" selected="0">
            <x v="0"/>
          </reference>
          <reference field="0" count="1" selected="0">
            <x v="7"/>
          </reference>
          <reference field="7" count="1" selected="0">
            <x v="0"/>
          </reference>
        </references>
      </pivotArea>
    </chartFormat>
    <chartFormat chart="36" format="108">
      <pivotArea type="data" outline="0" fieldPosition="0">
        <references count="3">
          <reference field="4294967294" count="1" selected="0">
            <x v="0"/>
          </reference>
          <reference field="0" count="1" selected="0">
            <x v="8"/>
          </reference>
          <reference field="7" count="1" selected="0">
            <x v="0"/>
          </reference>
        </references>
      </pivotArea>
    </chartFormat>
    <chartFormat chart="36" format="109">
      <pivotArea type="data" outline="0" fieldPosition="0">
        <references count="3">
          <reference field="4294967294" count="1" selected="0">
            <x v="0"/>
          </reference>
          <reference field="0" count="1" selected="0">
            <x v="9"/>
          </reference>
          <reference field="7" count="1" selected="0">
            <x v="0"/>
          </reference>
        </references>
      </pivotArea>
    </chartFormat>
    <chartFormat chart="36" format="110">
      <pivotArea type="data" outline="0" fieldPosition="0">
        <references count="3">
          <reference field="4294967294" count="1" selected="0">
            <x v="0"/>
          </reference>
          <reference field="0" count="1" selected="0">
            <x v="10"/>
          </reference>
          <reference field="7" count="1" selected="0">
            <x v="0"/>
          </reference>
        </references>
      </pivotArea>
    </chartFormat>
    <chartFormat chart="36" format="111">
      <pivotArea type="data" outline="0" fieldPosition="0">
        <references count="3">
          <reference field="4294967294" count="1" selected="0">
            <x v="0"/>
          </reference>
          <reference field="0" count="1" selected="0">
            <x v="11"/>
          </reference>
          <reference field="7" count="1" selected="0">
            <x v="0"/>
          </reference>
        </references>
      </pivotArea>
    </chartFormat>
    <chartFormat chart="36" format="112" series="1">
      <pivotArea type="data" outline="0" fieldPosition="0">
        <references count="2">
          <reference field="4294967294" count="1" selected="0">
            <x v="0"/>
          </reference>
          <reference field="7" count="1" selected="0">
            <x v="1"/>
          </reference>
        </references>
      </pivotArea>
    </chartFormat>
    <chartFormat chart="36" format="113">
      <pivotArea type="data" outline="0" fieldPosition="0">
        <references count="3">
          <reference field="4294967294" count="1" selected="0">
            <x v="0"/>
          </reference>
          <reference field="0" count="1" selected="0">
            <x v="0"/>
          </reference>
          <reference field="7" count="1" selected="0">
            <x v="1"/>
          </reference>
        </references>
      </pivotArea>
    </chartFormat>
    <chartFormat chart="36" format="114">
      <pivotArea type="data" outline="0" fieldPosition="0">
        <references count="3">
          <reference field="4294967294" count="1" selected="0">
            <x v="0"/>
          </reference>
          <reference field="0" count="1" selected="0">
            <x v="1"/>
          </reference>
          <reference field="7" count="1" selected="0">
            <x v="1"/>
          </reference>
        </references>
      </pivotArea>
    </chartFormat>
    <chartFormat chart="36" format="115">
      <pivotArea type="data" outline="0" fieldPosition="0">
        <references count="3">
          <reference field="4294967294" count="1" selected="0">
            <x v="0"/>
          </reference>
          <reference field="0" count="1" selected="0">
            <x v="2"/>
          </reference>
          <reference field="7" count="1" selected="0">
            <x v="1"/>
          </reference>
        </references>
      </pivotArea>
    </chartFormat>
    <chartFormat chart="36" format="116">
      <pivotArea type="data" outline="0" fieldPosition="0">
        <references count="3">
          <reference field="4294967294" count="1" selected="0">
            <x v="0"/>
          </reference>
          <reference field="0" count="1" selected="0">
            <x v="3"/>
          </reference>
          <reference field="7" count="1" selected="0">
            <x v="1"/>
          </reference>
        </references>
      </pivotArea>
    </chartFormat>
    <chartFormat chart="36" format="117">
      <pivotArea type="data" outline="0" fieldPosition="0">
        <references count="3">
          <reference field="4294967294" count="1" selected="0">
            <x v="0"/>
          </reference>
          <reference field="0" count="1" selected="0">
            <x v="4"/>
          </reference>
          <reference field="7" count="1" selected="0">
            <x v="1"/>
          </reference>
        </references>
      </pivotArea>
    </chartFormat>
    <chartFormat chart="36" format="118">
      <pivotArea type="data" outline="0" fieldPosition="0">
        <references count="3">
          <reference field="4294967294" count="1" selected="0">
            <x v="0"/>
          </reference>
          <reference field="0" count="1" selected="0">
            <x v="5"/>
          </reference>
          <reference field="7" count="1" selected="0">
            <x v="1"/>
          </reference>
        </references>
      </pivotArea>
    </chartFormat>
    <chartFormat chart="36" format="119">
      <pivotArea type="data" outline="0" fieldPosition="0">
        <references count="3">
          <reference field="4294967294" count="1" selected="0">
            <x v="0"/>
          </reference>
          <reference field="0" count="1" selected="0">
            <x v="6"/>
          </reference>
          <reference field="7" count="1" selected="0">
            <x v="1"/>
          </reference>
        </references>
      </pivotArea>
    </chartFormat>
    <chartFormat chart="36" format="120">
      <pivotArea type="data" outline="0" fieldPosition="0">
        <references count="3">
          <reference field="4294967294" count="1" selected="0">
            <x v="0"/>
          </reference>
          <reference field="0" count="1" selected="0">
            <x v="7"/>
          </reference>
          <reference field="7" count="1" selected="0">
            <x v="1"/>
          </reference>
        </references>
      </pivotArea>
    </chartFormat>
    <chartFormat chart="36" format="121">
      <pivotArea type="data" outline="0" fieldPosition="0">
        <references count="3">
          <reference field="4294967294" count="1" selected="0">
            <x v="0"/>
          </reference>
          <reference field="0" count="1" selected="0">
            <x v="8"/>
          </reference>
          <reference field="7" count="1" selected="0">
            <x v="1"/>
          </reference>
        </references>
      </pivotArea>
    </chartFormat>
    <chartFormat chart="36" format="122">
      <pivotArea type="data" outline="0" fieldPosition="0">
        <references count="3">
          <reference field="4294967294" count="1" selected="0">
            <x v="0"/>
          </reference>
          <reference field="0" count="1" selected="0">
            <x v="9"/>
          </reference>
          <reference field="7" count="1" selected="0">
            <x v="1"/>
          </reference>
        </references>
      </pivotArea>
    </chartFormat>
    <chartFormat chart="36" format="123">
      <pivotArea type="data" outline="0" fieldPosition="0">
        <references count="3">
          <reference field="4294967294" count="1" selected="0">
            <x v="0"/>
          </reference>
          <reference field="0" count="1" selected="0">
            <x v="10"/>
          </reference>
          <reference field="7" count="1" selected="0">
            <x v="1"/>
          </reference>
        </references>
      </pivotArea>
    </chartFormat>
    <chartFormat chart="36" format="124">
      <pivotArea type="data" outline="0" fieldPosition="0">
        <references count="3">
          <reference field="4294967294" count="1" selected="0">
            <x v="0"/>
          </reference>
          <reference field="0" count="1" selected="0">
            <x v="11"/>
          </reference>
          <reference field="7" count="1" selected="0">
            <x v="1"/>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89299C2-17BB-49BE-8C3C-FFD83383AF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I3:J16" firstHeaderRow="1" firstDataRow="1" firstDataCol="1"/>
  <pivotFields count="8">
    <pivotField axis="axisRow" showAll="0" sortType="ascending">
      <items count="13">
        <item x="0"/>
        <item x="3"/>
        <item x="10"/>
        <item x="1"/>
        <item x="8"/>
        <item x="2"/>
        <item x="5"/>
        <item x="6"/>
        <item x="7"/>
        <item x="9"/>
        <item x="4"/>
        <item x="1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items count="4">
        <item x="1"/>
        <item x="0"/>
        <item x="2"/>
        <item t="default"/>
      </items>
    </pivotField>
    <pivotField showAll="0">
      <items count="3">
        <item x="1"/>
        <item x="0"/>
        <item t="default"/>
      </items>
    </pivotField>
  </pivotFields>
  <rowFields count="1">
    <field x="0"/>
  </rowFields>
  <rowItems count="13">
    <i>
      <x v="7"/>
    </i>
    <i>
      <x v="2"/>
    </i>
    <i>
      <x v="5"/>
    </i>
    <i>
      <x/>
    </i>
    <i>
      <x v="9"/>
    </i>
    <i>
      <x v="3"/>
    </i>
    <i>
      <x v="1"/>
    </i>
    <i>
      <x v="10"/>
    </i>
    <i>
      <x v="11"/>
    </i>
    <i>
      <x v="4"/>
    </i>
    <i>
      <x v="6"/>
    </i>
    <i>
      <x v="8"/>
    </i>
    <i t="grand">
      <x/>
    </i>
  </rowItems>
  <colItems count="1">
    <i/>
  </colItems>
  <dataFields count="1">
    <dataField name="Average of Distance" fld="1" subtotal="average" baseField="0" baseItem="0"/>
  </dataFields>
  <chartFormats count="6">
    <chartFormat chart="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 chart="64" format="3">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381D8C3-69BB-4CEF-B236-2B129DB731F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3:B14" firstHeaderRow="1" firstDataRow="1" firstDataCol="1"/>
  <pivotFields count="11">
    <pivotField axis="axisRow" showAll="0" measureFilter="1">
      <items count="16">
        <item x="9"/>
        <item x="12"/>
        <item x="6"/>
        <item x="11"/>
        <item x="0"/>
        <item x="2"/>
        <item x="10"/>
        <item x="14"/>
        <item x="8"/>
        <item x="4"/>
        <item x="3"/>
        <item x="1"/>
        <item x="13"/>
        <item x="5"/>
        <item x="7"/>
        <item t="default"/>
      </items>
    </pivotField>
    <pivotField showAll="0"/>
    <pivotField numFmtId="1" showAll="0"/>
    <pivotField showAll="0"/>
    <pivotField showAll="0"/>
    <pivotField showAll="0"/>
    <pivotField numFmtId="1" showAll="0"/>
    <pivotField showAll="0"/>
    <pivotField showAll="0"/>
    <pivotField dataField="1" numFmtId="1" showAll="0"/>
    <pivotField showAll="0">
      <items count="4">
        <item x="2"/>
        <item x="1"/>
        <item x="0"/>
        <item t="default"/>
      </items>
    </pivotField>
  </pivotFields>
  <rowFields count="1">
    <field x="0"/>
  </rowFields>
  <rowItems count="11">
    <i>
      <x/>
    </i>
    <i>
      <x v="1"/>
    </i>
    <i>
      <x v="2"/>
    </i>
    <i>
      <x v="4"/>
    </i>
    <i>
      <x v="5"/>
    </i>
    <i>
      <x v="6"/>
    </i>
    <i>
      <x v="11"/>
    </i>
    <i>
      <x v="12"/>
    </i>
    <i>
      <x v="13"/>
    </i>
    <i>
      <x v="14"/>
    </i>
    <i t="grand">
      <x/>
    </i>
  </rowItems>
  <colItems count="1">
    <i/>
  </colItems>
  <dataFields count="1">
    <dataField name="Sum of Total Score" fld="9" baseField="0" baseItem="0" numFmtId="1"/>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 chart="0" format="14">
      <pivotArea type="data" outline="0" fieldPosition="0">
        <references count="2">
          <reference field="4294967294" count="1" selected="0">
            <x v="0"/>
          </reference>
          <reference field="0" count="1" selected="0">
            <x v="13"/>
          </reference>
        </references>
      </pivotArea>
    </chartFormat>
    <chartFormat chart="0" format="15">
      <pivotArea type="data" outline="0" fieldPosition="0">
        <references count="2">
          <reference field="4294967294" count="1" selected="0">
            <x v="0"/>
          </reference>
          <reference field="0" count="1" selected="0">
            <x v="14"/>
          </reference>
        </references>
      </pivotArea>
    </chartFormat>
    <chartFormat chart="39" format="16" series="1">
      <pivotArea type="data" outline="0" fieldPosition="0">
        <references count="1">
          <reference field="4294967294" count="1" selected="0">
            <x v="0"/>
          </reference>
        </references>
      </pivotArea>
    </chartFormat>
    <chartFormat chart="40" format="17" series="1">
      <pivotArea type="data" outline="0" fieldPosition="0">
        <references count="1">
          <reference field="4294967294" count="1" selected="0">
            <x v="0"/>
          </reference>
        </references>
      </pivotArea>
    </chartFormat>
    <chartFormat chart="41"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A0F8B5-9590-4F3F-B4DB-2474489FCBCB}" sourceName="Region">
  <pivotTables>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 tabId="4" name="PivotTable5"/>
    <pivotTable tabId="4" name="PivotTable7"/>
    <pivotTable tabId="4" name="PivotTable9"/>
    <pivotTable tabId="4" name="PivotTable1"/>
  </pivotTables>
  <data>
    <tabular pivotCacheId="1061630501">
      <items count="9">
        <i x="8" s="1"/>
        <i x="4" s="1"/>
        <i x="0" s="1"/>
        <i x="2" s="1"/>
        <i x="1" s="1"/>
        <i x="7" s="1"/>
        <i x="5"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certerntion_of_supplier" xr10:uid="{33C7F725-DB37-451D-99E7-F176B581154F}" sourceName="Concerterntion of supplier">
  <pivotTables>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 tabId="4" name="PivotTable5"/>
    <pivotTable tabId="4" name="PivotTable7"/>
    <pivotTable tabId="4" name="PivotTable9"/>
    <pivotTable tabId="4" name="PivotTable1"/>
  </pivotTables>
  <data>
    <tabular pivotCacheId="106163050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DB00E611-8C61-4D76-9367-4ED559EE1E60}" sourceName="Price Category ">
  <pivotTables>
    <pivotTable tabId="13" name="PivotTable1"/>
    <pivotTable tabId="13" name="PivotTable2"/>
    <pivotTable tabId="13" name="PivotTable3"/>
    <pivotTable tabId="13" name="PivotTable4"/>
  </pivotTables>
  <data>
    <tabular pivotCacheId="143806146">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rtizing" xr10:uid="{D5D1E4D2-C889-4C73-8836-CE3F04243782}" sourceName="Perirtizing">
  <pivotTables>
    <pivotTable tabId="19" name="PivotTable1"/>
  </pivotTables>
  <data>
    <tabular pivotCacheId="1272072128">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de_Agreements" xr10:uid="{3268D9F9-C85D-4951-BF20-46EDBDF98859}" sourceName="Trade Agreements ">
  <pivotTables>
    <pivotTable tabId="13" name="PivotTable4"/>
    <pivotTable tabId="13" name="PivotTable1"/>
    <pivotTable tabId="13" name="PivotTable2"/>
    <pivotTable tabId="13" name="PivotTable3"/>
  </pivotTables>
  <data>
    <tabular pivotCacheId="14380614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69D2009-0557-450D-ABB1-35BB7B14084F}" cache="Slicer_Region" caption="Region" rowHeight="234950"/>
  <slicer name="Concerterntion of supplier 3" xr10:uid="{BF19D434-3CDA-4C98-80B2-D077EB5F3920}" cache="Slicer_Concerterntion_of_supplier" caption="Concerterntion of suppli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3CF23C47-2D2A-4495-97B0-52058160F8C7}" cache="Slicer_Region" caption="Region" style="SlicerStyleOther2" rowHeight="234950"/>
  <slicer name="Concerterntion of supplier 5" xr10:uid="{FCBA4C49-8A1F-4BBC-BF43-3D0CC89B7230}" cache="Slicer_Concerterntion_of_supplier" caption="Concerterntion of supplier" style="SlicerStyleOther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 xr10:uid="{D3E67D5C-D1A8-4F5F-A58C-B6B3053E15E3}" cache="Slicer_Price_Category" caption="Price Category " rowHeight="234950"/>
  <slicer name="Trade Agreements " xr10:uid="{0A73BDED-5924-401B-AB3C-99BF2BE91293}" cache="Slicer_Trade_Agreements" caption="Trade Agreements "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rtizing" xr10:uid="{22C1B50B-EC11-4ED7-8A38-E0D47B9AB55A}" cache="Slicer_Perirtizing" caption="Perirtizing"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1" xr10:uid="{BF3E6E06-CAD6-4869-BB99-91C50BB45ACC}" cache="Slicer_Price_Category" caption="Price Category " rowHeight="234950"/>
  <slicer name="Perirtizing 1" xr10:uid="{767DB2CE-2F8D-439B-B52B-73668C5EE484}" cache="Slicer_Perirtizing" caption="Perirtizing" rowHeight="234950"/>
  <slicer name="Trade Agreements  1" xr10:uid="{E203FE1D-E4F0-46CB-A935-18F4DABC6F1B}" cache="Slicer_Trade_Agreements" caption="Trade Agreements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C8493C-20C7-48A2-990D-51A9D1CB8FC7}" name="Table1" displayName="Table1" ref="A1:O171" totalsRowShown="0">
  <autoFilter ref="A1:O171" xr:uid="{6BC8493C-20C7-48A2-990D-51A9D1CB8FC7}"/>
  <tableColumns count="15">
    <tableColumn id="1" xr3:uid="{2F281868-6F85-4C36-B459-CE37CC878F50}" name="Importers"/>
    <tableColumn id="15" xr3:uid="{AFF4DC4B-562D-4760-842A-D0C89D7947F5}" name="Region"/>
    <tableColumn id="2" xr3:uid="{128437AC-09B1-4B28-ABD0-9E495857BF7E}" name="Value imported in 2024 (USD thousand)"/>
    <tableColumn id="3" xr3:uid="{C47C5DF6-B27E-4131-BB50-F3CB2FC46706}" name="Trade balance in 2024 (USD thousand)"/>
    <tableColumn id="4" xr3:uid="{FF182630-4359-4A53-95B6-1BA54B6FD39E}" name="Quantity imported in 2024"/>
    <tableColumn id="5" xr3:uid="{F7054ACB-8EFF-4DB3-87A2-ABA4719FA4FE}" name="Unit value (USD/unit)"/>
    <tableColumn id="6" xr3:uid="{75421A72-2B47-4678-B77F-C795959E9398}" name="Annual growth in value between 2020-2024 (%)"/>
    <tableColumn id="7" xr3:uid="{CDC131D4-A983-4E05-BFDB-08C6160F2746}" name="Annual growth in quantity between 2020-2024 (%)"/>
    <tableColumn id="8" xr3:uid="{741F0EB2-EB17-4528-A3B5-8F686E83BB0E}" name="Annual growth in value between 2023-2024 (%)"/>
    <tableColumn id="9" xr3:uid="{0555833D-7D37-49C7-BCD1-2A20074A6167}" name="Share in world imports (%)"/>
    <tableColumn id="10" xr3:uid="{B08EFEF6-9C0F-40C2-84BE-1B9256629FBF}" name="Average distance of supplying countries (km)"/>
    <tableColumn id="11" xr3:uid="{12D7B529-1C8E-459D-A164-EF104C868F03}" name="Concentration of supplying countries"/>
    <tableColumn id="12" xr3:uid="{48E060C7-10EE-4640-9D5B-2E061D3F46B6}" name="Average tariff (estimated) applied by the country (%)"/>
    <tableColumn id="13" xr3:uid="{514BDF18-B3E6-412B-9933-BF7EBA68C020}" name="Region2"/>
    <tableColumn id="14" xr3:uid="{3D453585-92C7-482D-8985-F40DE46AC380}" name="Concerterntion of suppli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C6A9A2-FC79-45FD-A8EF-6FECA29079D0}" name="Table4" displayName="Table4" ref="A1:F37" totalsRowShown="0">
  <autoFilter ref="A1:F37" xr:uid="{B1C6A9A2-FC79-45FD-A8EF-6FECA29079D0}"/>
  <tableColumns count="6">
    <tableColumn id="1" xr3:uid="{996C5C9E-58F3-4A5C-97DA-3CB7B09EEB9C}" name="Highest impotrer  in volume" dataDxfId="60"/>
    <tableColumn id="2" xr3:uid="{B1F64D10-CE76-42C5-8D5B-D97890F63929}" name="The most Dynamic" dataDxfId="59"/>
    <tableColumn id="3" xr3:uid="{08CE6277-AD60-468C-A1C3-7B91F9A2419E}" name="Actual Market"/>
    <tableColumn id="4" xr3:uid="{32923442-F551-4962-8393-32CF0284904F}" name="all" dataDxfId="58"/>
    <tableColumn id="6" xr3:uid="{23CE31E9-3738-45AC-891A-65490672C6FD}" name="target3" dataDxfId="57">
      <calculatedColumnFormula>IF(AND(COUNTIF(A:A, D2)&gt;0, COUNTIF(B:B, D2)&gt;0, COUNTIF(C:C, D2)&gt;0), "TDA", "Do not have criteria")</calculatedColumnFormula>
    </tableColumn>
    <tableColumn id="7" xr3:uid="{C0AB478A-BF8D-43C0-B423-A48B35EA2E7A}" name="3-Feb" dataDxfId="56">
      <calculatedColumnFormula>IF((COUNTIF(A:A, D2)&gt;0) + (COUNTIF(B:B, D2)&gt;0) + (COUNTIF(C:C, D2)&gt;0) &gt;= 2, "TWO CRi", "ONE criteria")</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9FA2C8-82F7-4BDC-97EF-743477A86481}" name="Table2" displayName="Table2" ref="I8:J23" totalsRowShown="0">
  <autoFilter ref="I8:J23" xr:uid="{E99FA2C8-82F7-4BDC-97EF-743477A86481}"/>
  <tableColumns count="2">
    <tableColumn id="1" xr3:uid="{2068F1C3-DAA7-4054-BC2A-3D0F45051468}" name="Target"/>
    <tableColumn id="2" xr3:uid="{3EDB3372-E117-4A83-ADE8-47FED59E62FE}" name="conc of sup" dataDxfId="55">
      <calculatedColumnFormula>VLOOKUP(Table2[[#This Row],[Target]],Table1[#All],12,FALSE)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74B014-A065-4006-B2C9-C8E4633E2637}" name="Table3" displayName="Table3" ref="A1:O27" totalsRowShown="0" headerRowDxfId="54" dataDxfId="53">
  <autoFilter ref="A1:O27" xr:uid="{D174B014-A065-4006-B2C9-C8E4633E2637}"/>
  <tableColumns count="15">
    <tableColumn id="1" xr3:uid="{377ECEB8-D75F-47FB-9BD7-D3EA755D37E6}" name="Target Market" dataDxfId="52"/>
    <tableColumn id="2" xr3:uid="{09FF05CB-A493-4128-9978-F16DBEC994AF}" name="Column1" dataDxfId="51"/>
    <tableColumn id="3" xr3:uid="{FEEAF630-6F87-4584-B38E-1089A6385EAB}" name="Column2" dataDxfId="50"/>
    <tableColumn id="4" xr3:uid="{7218F28F-7814-462A-97CC-D67C740264A2}" name="Column3" dataDxfId="49"/>
    <tableColumn id="5" xr3:uid="{A8ADF872-0A83-4786-8262-E74732D3C649}" name="Column4" dataDxfId="48"/>
    <tableColumn id="6" xr3:uid="{C494C908-07AC-4716-B879-A52FCAE31425}" name="Column5" dataDxfId="47"/>
    <tableColumn id="7" xr3:uid="{22BF903F-68AB-4D24-B805-42AA2CD1033C}" name="Column6" dataDxfId="46"/>
    <tableColumn id="8" xr3:uid="{4D634E81-5879-459C-9FEB-0DE08BEFF811}" name="Column7" dataDxfId="45"/>
    <tableColumn id="9" xr3:uid="{D649C20B-AF74-4CC5-B8E8-534E2A08450D}" name="Column8" dataDxfId="44"/>
    <tableColumn id="10" xr3:uid="{C66673FE-B6E0-4F92-B547-2187326A1443}" name="Column9" dataDxfId="43"/>
    <tableColumn id="11" xr3:uid="{D3AE95BA-E4EB-405B-AF36-3D0EBCFFBFA4}" name="Column10" dataDxfId="42"/>
    <tableColumn id="12" xr3:uid="{38685949-F22F-42B4-9E80-32CA3EAC0474}" name="Column11" dataDxfId="41"/>
    <tableColumn id="13" xr3:uid="{A32175FC-42CC-4F3C-842D-2FB44845EFF3}" name="Column12" dataDxfId="40"/>
    <tableColumn id="14" xr3:uid="{3F9E6528-B7C3-43B6-A89E-FCB5A2E75144}" name="Column13" dataDxfId="39"/>
    <tableColumn id="15" xr3:uid="{D5BEFD71-92AD-4A11-8435-21207201458B}" name="Column14" dataDxfId="3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56A9E16-73B4-4904-9327-04415891B7D4}" name="Table17" displayName="Table17" ref="A1:P171" totalsRowShown="0">
  <autoFilter ref="A1:P171" xr:uid="{256A9E16-73B4-4904-9327-04415891B7D4}"/>
  <tableColumns count="16">
    <tableColumn id="1" xr3:uid="{D65BA82F-F01B-496A-B9D8-3FE14D6E357B}" name="Importers"/>
    <tableColumn id="15" xr3:uid="{3431D91E-B39B-4C7A-93C1-84DF201C29CA}" name="Region"/>
    <tableColumn id="2" xr3:uid="{56412FE3-12E3-429C-8068-225F70D5B3C7}" name="Value imported in 2024 (USD thousand)"/>
    <tableColumn id="3" xr3:uid="{E99F952D-C79C-46B1-AA22-304E3D8DD94D}" name="Trade balance in 2024 (USD thousand)"/>
    <tableColumn id="4" xr3:uid="{E7A98E8C-CF09-4298-A8D2-DFA604714FB3}" name="Quantity imported in 2024"/>
    <tableColumn id="5" xr3:uid="{C935AB9F-EE43-42D4-8713-DC2DFB8F2C6C}" name="Unit value (USD/unit)"/>
    <tableColumn id="6" xr3:uid="{F5072E0C-54B2-4916-B4B1-4DEF9CE11ADA}" name="Annual growth in value between 2020-2024 (%)"/>
    <tableColumn id="7" xr3:uid="{C2E38751-F2F9-4B52-BB60-2C4E9B5E8BA7}" name="Annual growth in quantity between 2020-2024 (%)"/>
    <tableColumn id="8" xr3:uid="{F0EAA926-F935-46C8-839C-49B17C2C8A27}" name="Annual growth in value between 2023-2024 (%)"/>
    <tableColumn id="9" xr3:uid="{9088237A-F54E-40DB-8F25-04A15027E458}" name="Share in world imports (%)"/>
    <tableColumn id="10" xr3:uid="{ED92906F-C0E0-4137-8827-4BF5F263C524}" name="Average distance of supplying countries (km)"/>
    <tableColumn id="11" xr3:uid="{D750A626-E43F-4840-807F-08D74DE6E262}" name="Concentration of supplying countries"/>
    <tableColumn id="12" xr3:uid="{136D49D6-6184-490D-A5BF-FDAB3DF82CFB}" name="Average tariff (estimated) applied by the country (%)"/>
    <tableColumn id="13" xr3:uid="{05442587-69C5-4F47-991A-43CAE993C14D}" name="Region2"/>
    <tableColumn id="14" xr3:uid="{B3B72053-2AC2-46D9-BE85-69AC3C20A493}" name="Concerterntion of supplier"/>
    <tableColumn id="16" xr3:uid="{C8682C13-B1C7-47DD-B771-5D9F9643DE31}" name="Total Price" dataDxfId="37">
      <calculatedColumnFormula xml:space="preserve"> Table17[[#This Row],[Unit value (USD/unit)]] * (1 + Table17[[#This Row],[Average tariff (estimated) applied by the country (%)]]/100)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22821E2-EAA0-4788-B5B7-295B20DA2D43}" name="Table7" displayName="Table7" ref="R7:Y19" totalsRowShown="0">
  <autoFilter ref="R7:Y19" xr:uid="{E22821E2-EAA0-4788-B5B7-295B20DA2D43}"/>
  <tableColumns count="8">
    <tableColumn id="1" xr3:uid="{A47B195F-CECA-4A56-9296-5E7DF9CF5E0A}" name="Compitatores"/>
    <tableColumn id="2" xr3:uid="{1F150F88-6C72-430E-A722-4C0DC2B13516}" name="Distance" dataDxfId="36">
      <calculatedColumnFormula>VLOOKUP(Table7[[#This Row],[Compitatores]],A2:O171,11,0)</calculatedColumnFormula>
    </tableColumn>
    <tableColumn id="3" xr3:uid="{D0EFF9C6-09F6-4B35-AD86-863B53A0E02A}" name="Price" dataDxfId="35">
      <calculatedColumnFormula>VLOOKUP(Table7[[#This Row],[Compitatores]],A2:O171,6,0)</calculatedColumnFormula>
    </tableColumn>
    <tableColumn id="4" xr3:uid="{155ED8ED-111F-4606-BFC8-3EAD9D33F729}" name="Tariff" dataDxfId="34">
      <calculatedColumnFormula>VLOOKUP(Table7[[#This Row],[Compitatores]],A2:O171,13,0)</calculatedColumnFormula>
    </tableColumn>
    <tableColumn id="5" xr3:uid="{95A13FFA-0F8B-4185-83B4-3E11FF4E3659}" name="Total Price " dataDxfId="33">
      <calculatedColumnFormula>Table7[[#This Row],[Price]]*(1+Table7[[#This Row],[Tariff]]/100)</calculatedColumnFormula>
    </tableColumn>
    <tableColumn id="6" xr3:uid="{DA566B24-C0CE-491A-900A-D8EEC9228567}" name="Tariff Category" dataDxfId="32">
      <calculatedColumnFormula>IF(Table7[[#This Row],[Tariff]]&lt;=$S$24*0.8,"Low",
 IF(Table7[[#This Row],[Tariff]]&lt;=$S$24*1.2,"Moderate","High"))</calculatedColumnFormula>
    </tableColumn>
    <tableColumn id="7" xr3:uid="{9223B793-E2CC-48EF-9CF5-A2282B1090D9}" name="Price Category " dataDxfId="31">
      <calculatedColumnFormula>IF(Table7[[#This Row],[Total Price ]]&lt;=$S$23*0.8,"Low",
 IF(Table7[[#This Row],[Total Price ]]&lt;=$S$23*1.2,"Moderate","High"))</calculatedColumnFormula>
    </tableColumn>
    <tableColumn id="8" xr3:uid="{9BA4E53E-A9A1-4CAE-B77B-3BA29D751024}" name="Trade Agreements " dataDxfId="30">
      <calculatedColumnFormula>IF(Table7[[#This Row],[Tariff]]&lt;=1.8,"Yes","No")</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E276699-9890-41C8-BB23-B44C689A4B10}" name="Table8" displayName="Table8" ref="A1:K16" totalsRowShown="0">
  <autoFilter ref="A1:K16" xr:uid="{4E276699-9890-41C8-BB23-B44C689A4B10}"/>
  <tableColumns count="11">
    <tableColumn id="1" xr3:uid="{854153E7-6CBF-472D-8746-AFAD206195B2}" name="Target Market"/>
    <tableColumn id="2" xr3:uid="{7B797E29-33EE-4ED8-BB39-58537779D8C0}" name="Market Size" dataDxfId="29">
      <calculatedColumnFormula>VLOOKUP(Table8[[#This Row],[Target Market]],Table1[#All],3,0)</calculatedColumnFormula>
    </tableColumn>
    <tableColumn id="8" xr3:uid="{B404F599-FC54-499A-960C-16F9E61394A9}" name="Market size score" dataDxfId="28">
      <calculatedColumnFormula>(LOG(B2)-LOG(MIN($B$2:$B$16))) / (LOG(MAX($B$2:$B$16))-LOG(MIN($B$2:$B$16))) * 9 + 1</calculatedColumnFormula>
    </tableColumn>
    <tableColumn id="3" xr3:uid="{833DA0E2-AFBA-4061-B136-406A822C8651}" name="Growth" dataDxfId="27">
      <calculatedColumnFormula>VLOOKUP(Table8[[#This Row],[Target Market]],Table1[#All],7,0)</calculatedColumnFormula>
    </tableColumn>
    <tableColumn id="9" xr3:uid="{E2CFD5E5-13C7-4501-AF2D-A8B23C971FCC}" name="Growth score" dataDxfId="26">
      <calculatedColumnFormula>IF(D2&gt;25, 10, IF(D2&gt;15, 8, IF(D2&gt;5, 5, IF(D2&gt;0, 3, 1))))</calculatedColumnFormula>
    </tableColumn>
    <tableColumn id="5" xr3:uid="{EE95CCA1-1976-4A4C-BFAD-048F52913711}" name="Logistics"/>
    <tableColumn id="10" xr3:uid="{C5C3798D-270A-4835-A9F8-D0CAE25C45BD}" name="Logistics score" dataDxfId="25">
      <calculatedColumnFormula>(MAX($F$2:$F$16)-F2) / (MAX($F$2:$F$16)-MIN($F$2:$F$16)) * 9 + 1</calculatedColumnFormula>
    </tableColumn>
    <tableColumn id="6" xr3:uid="{3891F174-B965-4A84-8663-4CBE0F3A5F0A}" name="Tariffs" dataDxfId="24"/>
    <tableColumn id="11" xr3:uid="{E3B48354-ECEA-45EB-940F-6CF3BFD58B90}" name="Tariff score" dataDxfId="23">
      <calculatedColumnFormula>IF(H2=0, 10, IF(H2&lt;=5, 7, IF(H2&lt;=15, 4, 1)))</calculatedColumnFormula>
    </tableColumn>
    <tableColumn id="7" xr3:uid="{582D8236-4D97-417E-B0FE-17416DF27F4D}" name="Total Score" dataDxfId="22">
      <calculatedColumnFormula>(C2*0.35) + (E2*0.2) + (G2*0.2) + (I2*0.25)</calculatedColumnFormula>
    </tableColumn>
    <tableColumn id="12" xr3:uid="{FFA1BE9F-3110-4D90-B3D7-695ED32DE47E}" name="Perirtizing" dataDxfId="21">
      <calculatedColumnFormula>IF(J2&gt;=7, "Priority", IF(J2&gt;=6.5, "Long-term Opportunity", "Low-Interest"))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microsoft.com/office/2007/relationships/slicer" Target="../slicers/slicer3.xml"/><Relationship Id="rId5" Type="http://schemas.openxmlformats.org/officeDocument/2006/relationships/drawing" Target="../drawings/drawing4.xml"/><Relationship Id="rId4" Type="http://schemas.openxmlformats.org/officeDocument/2006/relationships/pivotTable" Target="../pivotTables/pivotTable1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17.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60BD4-C41A-4C97-9575-317B313E01A7}">
  <dimension ref="A1:O171"/>
  <sheetViews>
    <sheetView topLeftCell="A16" workbookViewId="0">
      <selection activeCell="O11" sqref="O11"/>
    </sheetView>
  </sheetViews>
  <sheetFormatPr defaultRowHeight="14.4"/>
  <cols>
    <col min="1" max="1" width="33.44140625" bestFit="1" customWidth="1"/>
    <col min="2" max="2" width="12.88671875" bestFit="1" customWidth="1"/>
    <col min="3" max="3" width="36.109375" customWidth="1"/>
    <col min="4" max="4" width="34.88671875" customWidth="1"/>
    <col min="5" max="5" width="24.88671875" customWidth="1"/>
    <col min="6" max="6" width="21" customWidth="1"/>
    <col min="7" max="7" width="42.44140625" customWidth="1"/>
    <col min="8" max="8" width="45" customWidth="1"/>
    <col min="9" max="9" width="42.44140625" customWidth="1"/>
    <col min="10" max="10" width="25" customWidth="1"/>
    <col min="11" max="11" width="40.6640625" customWidth="1"/>
    <col min="12" max="12" width="41" customWidth="1"/>
    <col min="13" max="13" width="47.109375" customWidth="1"/>
    <col min="14" max="14" width="12.88671875" bestFit="1" customWidth="1"/>
    <col min="15" max="15" width="24.88671875" customWidth="1"/>
  </cols>
  <sheetData>
    <row r="1" spans="1:15">
      <c r="A1" t="s">
        <v>0</v>
      </c>
      <c r="B1" t="s">
        <v>12</v>
      </c>
      <c r="C1" t="s">
        <v>1</v>
      </c>
      <c r="D1" t="s">
        <v>2</v>
      </c>
      <c r="E1" t="s">
        <v>3</v>
      </c>
      <c r="F1" t="s">
        <v>4</v>
      </c>
      <c r="G1" t="s">
        <v>5</v>
      </c>
      <c r="H1" t="s">
        <v>6</v>
      </c>
      <c r="I1" t="s">
        <v>7</v>
      </c>
      <c r="J1" t="s">
        <v>8</v>
      </c>
      <c r="K1" t="s">
        <v>9</v>
      </c>
      <c r="L1" t="s">
        <v>10</v>
      </c>
      <c r="M1" t="s">
        <v>11</v>
      </c>
      <c r="N1" t="s">
        <v>198</v>
      </c>
      <c r="O1" t="s">
        <v>13</v>
      </c>
    </row>
    <row r="2" spans="1:15">
      <c r="A2" t="s">
        <v>14</v>
      </c>
      <c r="B2" t="s">
        <v>15</v>
      </c>
      <c r="C2">
        <v>91361</v>
      </c>
      <c r="D2">
        <v>-25985</v>
      </c>
      <c r="E2">
        <v>341423</v>
      </c>
      <c r="F2">
        <v>268</v>
      </c>
      <c r="G2">
        <v>8</v>
      </c>
      <c r="H2">
        <v>16</v>
      </c>
      <c r="I2">
        <v>-9</v>
      </c>
      <c r="J2">
        <v>9</v>
      </c>
      <c r="K2">
        <v>660</v>
      </c>
      <c r="L2">
        <v>0.26</v>
      </c>
      <c r="M2">
        <v>1.8</v>
      </c>
      <c r="N2" t="s">
        <v>15</v>
      </c>
      <c r="O2" t="s">
        <v>16</v>
      </c>
    </row>
    <row r="3" spans="1:15">
      <c r="A3" t="s">
        <v>17</v>
      </c>
      <c r="B3" t="s">
        <v>18</v>
      </c>
      <c r="C3">
        <v>54248</v>
      </c>
      <c r="D3">
        <v>-13806</v>
      </c>
      <c r="E3">
        <v>105800</v>
      </c>
      <c r="F3">
        <v>513</v>
      </c>
      <c r="G3">
        <v>5</v>
      </c>
      <c r="H3">
        <v>3</v>
      </c>
      <c r="I3">
        <v>28</v>
      </c>
      <c r="J3">
        <v>5.3</v>
      </c>
      <c r="K3">
        <v>2918</v>
      </c>
      <c r="L3">
        <v>0.64</v>
      </c>
      <c r="M3">
        <v>1.8</v>
      </c>
      <c r="N3" t="s">
        <v>18</v>
      </c>
      <c r="O3" t="s">
        <v>19</v>
      </c>
    </row>
    <row r="4" spans="1:15">
      <c r="A4" t="s">
        <v>20</v>
      </c>
      <c r="B4" t="s">
        <v>15</v>
      </c>
      <c r="C4">
        <v>50769</v>
      </c>
      <c r="D4">
        <v>-50762</v>
      </c>
      <c r="E4">
        <v>97632</v>
      </c>
      <c r="F4">
        <v>520</v>
      </c>
      <c r="G4">
        <v>6</v>
      </c>
      <c r="H4">
        <v>4</v>
      </c>
      <c r="I4">
        <v>2</v>
      </c>
      <c r="J4">
        <v>5</v>
      </c>
      <c r="K4">
        <v>825</v>
      </c>
      <c r="L4">
        <v>0.19</v>
      </c>
      <c r="M4">
        <v>1.8</v>
      </c>
      <c r="N4" t="s">
        <v>15</v>
      </c>
      <c r="O4" t="s">
        <v>16</v>
      </c>
    </row>
    <row r="5" spans="1:15">
      <c r="A5" t="s">
        <v>21</v>
      </c>
      <c r="B5" t="s">
        <v>15</v>
      </c>
      <c r="C5">
        <v>41958</v>
      </c>
      <c r="D5">
        <v>-2345</v>
      </c>
      <c r="E5">
        <v>62054</v>
      </c>
      <c r="F5">
        <v>676</v>
      </c>
      <c r="G5">
        <v>8</v>
      </c>
      <c r="H5">
        <v>0</v>
      </c>
      <c r="I5">
        <v>3</v>
      </c>
      <c r="J5">
        <v>4.0999999999999996</v>
      </c>
      <c r="K5">
        <v>689</v>
      </c>
      <c r="L5">
        <v>0.25</v>
      </c>
      <c r="M5">
        <v>1.8</v>
      </c>
      <c r="N5" t="s">
        <v>15</v>
      </c>
      <c r="O5" t="s">
        <v>16</v>
      </c>
    </row>
    <row r="6" spans="1:15">
      <c r="A6" t="s">
        <v>22</v>
      </c>
      <c r="B6" t="s">
        <v>23</v>
      </c>
      <c r="C6">
        <v>38792</v>
      </c>
      <c r="D6">
        <v>-33359</v>
      </c>
      <c r="E6">
        <v>62769</v>
      </c>
      <c r="F6">
        <v>618</v>
      </c>
      <c r="G6">
        <v>13</v>
      </c>
      <c r="H6">
        <v>4</v>
      </c>
      <c r="I6">
        <v>10</v>
      </c>
      <c r="J6">
        <v>3.8</v>
      </c>
      <c r="K6">
        <v>3515</v>
      </c>
      <c r="L6">
        <v>0.46</v>
      </c>
      <c r="M6">
        <v>1.8</v>
      </c>
      <c r="N6" t="s">
        <v>23</v>
      </c>
      <c r="O6" t="s">
        <v>16</v>
      </c>
    </row>
    <row r="7" spans="1:15">
      <c r="A7" t="s">
        <v>24</v>
      </c>
      <c r="B7" t="s">
        <v>25</v>
      </c>
      <c r="C7">
        <v>34586</v>
      </c>
      <c r="D7">
        <v>-33906</v>
      </c>
      <c r="E7">
        <v>55396</v>
      </c>
      <c r="F7">
        <v>624</v>
      </c>
      <c r="G7">
        <v>9</v>
      </c>
      <c r="H7">
        <v>1</v>
      </c>
      <c r="I7">
        <v>-9</v>
      </c>
      <c r="J7">
        <v>3.4</v>
      </c>
      <c r="K7">
        <v>1916</v>
      </c>
      <c r="L7">
        <v>0.31</v>
      </c>
      <c r="M7">
        <v>2.1</v>
      </c>
      <c r="N7" t="s">
        <v>25</v>
      </c>
      <c r="O7" t="s">
        <v>16</v>
      </c>
    </row>
    <row r="8" spans="1:15">
      <c r="A8" t="s">
        <v>26</v>
      </c>
      <c r="B8" t="s">
        <v>27</v>
      </c>
      <c r="C8">
        <v>33727</v>
      </c>
      <c r="D8">
        <v>-27402</v>
      </c>
      <c r="E8">
        <v>52012</v>
      </c>
      <c r="F8">
        <v>648</v>
      </c>
      <c r="G8">
        <v>-7</v>
      </c>
      <c r="H8">
        <v>-12</v>
      </c>
      <c r="I8">
        <v>-15</v>
      </c>
      <c r="J8">
        <v>3.3</v>
      </c>
      <c r="K8">
        <v>1880</v>
      </c>
      <c r="L8">
        <v>0.42</v>
      </c>
      <c r="M8">
        <v>4.0999999999999996</v>
      </c>
      <c r="N8" t="s">
        <v>27</v>
      </c>
      <c r="O8" t="s">
        <v>16</v>
      </c>
    </row>
    <row r="9" spans="1:15">
      <c r="A9" t="s">
        <v>28</v>
      </c>
      <c r="B9" t="s">
        <v>15</v>
      </c>
      <c r="C9">
        <v>33184</v>
      </c>
      <c r="D9">
        <v>-29494</v>
      </c>
      <c r="E9">
        <v>52702</v>
      </c>
      <c r="F9">
        <v>630</v>
      </c>
      <c r="G9">
        <v>43</v>
      </c>
      <c r="H9">
        <v>44</v>
      </c>
      <c r="I9">
        <v>19</v>
      </c>
      <c r="J9">
        <v>3.3</v>
      </c>
      <c r="K9">
        <v>789</v>
      </c>
      <c r="L9">
        <v>0.37</v>
      </c>
      <c r="M9">
        <v>1.1000000000000001</v>
      </c>
      <c r="N9" t="s">
        <v>15</v>
      </c>
      <c r="O9" t="s">
        <v>16</v>
      </c>
    </row>
    <row r="10" spans="1:15">
      <c r="A10" t="s">
        <v>29</v>
      </c>
      <c r="B10" t="s">
        <v>15</v>
      </c>
      <c r="C10">
        <v>27445</v>
      </c>
      <c r="D10">
        <v>108092</v>
      </c>
      <c r="E10">
        <v>46793</v>
      </c>
      <c r="F10">
        <v>587</v>
      </c>
      <c r="G10">
        <v>11</v>
      </c>
      <c r="H10">
        <v>15</v>
      </c>
      <c r="I10">
        <v>-11</v>
      </c>
      <c r="J10">
        <v>2.7</v>
      </c>
      <c r="K10">
        <v>863</v>
      </c>
      <c r="L10">
        <v>0.28000000000000003</v>
      </c>
      <c r="M10">
        <v>1.8</v>
      </c>
      <c r="N10" t="s">
        <v>15</v>
      </c>
      <c r="O10" t="s">
        <v>16</v>
      </c>
    </row>
    <row r="11" spans="1:15">
      <c r="A11" t="s">
        <v>30</v>
      </c>
      <c r="B11" t="s">
        <v>15</v>
      </c>
      <c r="C11">
        <v>26701</v>
      </c>
      <c r="D11">
        <v>4369</v>
      </c>
      <c r="E11">
        <v>48547</v>
      </c>
      <c r="F11">
        <v>550</v>
      </c>
      <c r="G11">
        <v>13</v>
      </c>
      <c r="H11">
        <v>4</v>
      </c>
      <c r="I11">
        <v>4</v>
      </c>
      <c r="J11">
        <v>2.6</v>
      </c>
      <c r="K11">
        <v>655</v>
      </c>
      <c r="L11">
        <v>0.39</v>
      </c>
      <c r="M11">
        <v>1.8</v>
      </c>
      <c r="N11" t="s">
        <v>15</v>
      </c>
      <c r="O11" t="s">
        <v>16</v>
      </c>
    </row>
    <row r="12" spans="1:15">
      <c r="A12" t="s">
        <v>31</v>
      </c>
      <c r="B12" t="s">
        <v>15</v>
      </c>
      <c r="C12">
        <v>26482</v>
      </c>
      <c r="D12">
        <v>69914</v>
      </c>
      <c r="E12">
        <v>46337</v>
      </c>
      <c r="F12">
        <v>572</v>
      </c>
      <c r="G12">
        <v>2</v>
      </c>
      <c r="H12">
        <v>-8</v>
      </c>
      <c r="I12">
        <v>-12</v>
      </c>
      <c r="J12">
        <v>2.6</v>
      </c>
      <c r="K12">
        <v>585</v>
      </c>
      <c r="L12">
        <v>0.47</v>
      </c>
      <c r="M12">
        <v>1.8</v>
      </c>
      <c r="N12" t="s">
        <v>15</v>
      </c>
      <c r="O12" t="s">
        <v>16</v>
      </c>
    </row>
    <row r="13" spans="1:15">
      <c r="A13" t="s">
        <v>32</v>
      </c>
      <c r="B13" t="s">
        <v>15</v>
      </c>
      <c r="C13">
        <v>24830</v>
      </c>
      <c r="D13">
        <v>-24572</v>
      </c>
      <c r="E13">
        <v>17230</v>
      </c>
      <c r="F13">
        <v>1441</v>
      </c>
      <c r="G13">
        <v>17</v>
      </c>
      <c r="H13">
        <v>-3</v>
      </c>
      <c r="I13">
        <v>-4</v>
      </c>
      <c r="J13">
        <v>2.4</v>
      </c>
      <c r="K13">
        <v>2900</v>
      </c>
      <c r="L13">
        <v>0.5</v>
      </c>
      <c r="M13">
        <v>1.8</v>
      </c>
      <c r="N13" t="s">
        <v>15</v>
      </c>
      <c r="O13" t="s">
        <v>16</v>
      </c>
    </row>
    <row r="14" spans="1:15">
      <c r="A14" t="s">
        <v>33</v>
      </c>
      <c r="B14" t="s">
        <v>18</v>
      </c>
      <c r="C14">
        <v>24112</v>
      </c>
      <c r="D14">
        <v>-23263</v>
      </c>
      <c r="E14">
        <v>44997</v>
      </c>
      <c r="F14">
        <v>536</v>
      </c>
      <c r="G14">
        <v>4</v>
      </c>
      <c r="H14">
        <v>1</v>
      </c>
      <c r="I14">
        <v>6</v>
      </c>
      <c r="J14">
        <v>2.4</v>
      </c>
      <c r="K14">
        <v>1635</v>
      </c>
      <c r="L14">
        <v>1</v>
      </c>
      <c r="M14">
        <v>0</v>
      </c>
      <c r="N14" t="s">
        <v>18</v>
      </c>
      <c r="O14" t="s">
        <v>19</v>
      </c>
    </row>
    <row r="15" spans="1:15">
      <c r="A15" t="s">
        <v>34</v>
      </c>
      <c r="B15" t="s">
        <v>25</v>
      </c>
      <c r="C15">
        <v>22859</v>
      </c>
      <c r="D15">
        <v>-10206</v>
      </c>
      <c r="E15">
        <v>49812</v>
      </c>
      <c r="F15">
        <v>459</v>
      </c>
      <c r="G15">
        <v>11</v>
      </c>
      <c r="H15">
        <v>8</v>
      </c>
      <c r="I15">
        <v>7</v>
      </c>
      <c r="J15">
        <v>2.2000000000000002</v>
      </c>
      <c r="K15">
        <v>3575</v>
      </c>
      <c r="L15">
        <v>0.33</v>
      </c>
      <c r="M15">
        <v>4.5999999999999996</v>
      </c>
      <c r="N15" t="s">
        <v>25</v>
      </c>
      <c r="O15" t="s">
        <v>16</v>
      </c>
    </row>
    <row r="16" spans="1:15">
      <c r="A16" t="s">
        <v>35</v>
      </c>
      <c r="B16" t="s">
        <v>15</v>
      </c>
      <c r="C16">
        <v>22266</v>
      </c>
      <c r="D16">
        <v>-19119</v>
      </c>
      <c r="E16">
        <v>37739</v>
      </c>
      <c r="F16">
        <v>590</v>
      </c>
      <c r="G16">
        <v>12</v>
      </c>
      <c r="H16">
        <v>4</v>
      </c>
      <c r="I16">
        <v>-1</v>
      </c>
      <c r="J16">
        <v>2.2000000000000002</v>
      </c>
      <c r="K16">
        <v>1604</v>
      </c>
      <c r="L16">
        <v>0.22</v>
      </c>
      <c r="M16">
        <v>1.8</v>
      </c>
      <c r="N16" t="s">
        <v>15</v>
      </c>
      <c r="O16" t="s">
        <v>16</v>
      </c>
    </row>
    <row r="17" spans="1:15">
      <c r="A17" t="s">
        <v>36</v>
      </c>
      <c r="B17" t="s">
        <v>25</v>
      </c>
      <c r="C17">
        <v>22002</v>
      </c>
      <c r="D17">
        <v>-9505</v>
      </c>
      <c r="E17">
        <v>27871</v>
      </c>
      <c r="F17">
        <v>789</v>
      </c>
      <c r="G17">
        <v>13</v>
      </c>
      <c r="H17">
        <v>8</v>
      </c>
      <c r="I17">
        <v>12</v>
      </c>
      <c r="J17">
        <v>2.2000000000000002</v>
      </c>
      <c r="K17">
        <v>1722</v>
      </c>
      <c r="L17">
        <v>0.39</v>
      </c>
      <c r="M17">
        <v>0</v>
      </c>
      <c r="N17" t="s">
        <v>25</v>
      </c>
      <c r="O17" t="s">
        <v>16</v>
      </c>
    </row>
    <row r="18" spans="1:15">
      <c r="A18" t="s">
        <v>37</v>
      </c>
      <c r="B18" t="s">
        <v>38</v>
      </c>
      <c r="C18">
        <v>21184</v>
      </c>
      <c r="D18">
        <v>-20096</v>
      </c>
      <c r="E18">
        <v>48505</v>
      </c>
      <c r="F18">
        <v>437</v>
      </c>
      <c r="G18">
        <v>-3</v>
      </c>
      <c r="H18">
        <v>-6</v>
      </c>
      <c r="I18">
        <v>-11</v>
      </c>
      <c r="J18">
        <v>2.1</v>
      </c>
      <c r="K18">
        <v>4114</v>
      </c>
      <c r="L18">
        <v>0.85</v>
      </c>
      <c r="M18">
        <v>3.2</v>
      </c>
      <c r="N18" t="s">
        <v>38</v>
      </c>
      <c r="O18" t="s">
        <v>19</v>
      </c>
    </row>
    <row r="19" spans="1:15">
      <c r="A19" t="s">
        <v>39</v>
      </c>
      <c r="B19" t="s">
        <v>15</v>
      </c>
      <c r="C19">
        <v>19724</v>
      </c>
      <c r="D19">
        <v>-10783</v>
      </c>
      <c r="E19">
        <v>38675</v>
      </c>
      <c r="F19">
        <v>510</v>
      </c>
      <c r="G19">
        <v>11</v>
      </c>
      <c r="H19">
        <v>4</v>
      </c>
      <c r="I19">
        <v>26</v>
      </c>
      <c r="J19">
        <v>1.9</v>
      </c>
      <c r="K19">
        <v>1241</v>
      </c>
      <c r="L19">
        <v>0.2</v>
      </c>
      <c r="M19">
        <v>1.8</v>
      </c>
      <c r="N19" t="s">
        <v>15</v>
      </c>
      <c r="O19" t="s">
        <v>16</v>
      </c>
    </row>
    <row r="20" spans="1:15">
      <c r="A20" t="s">
        <v>40</v>
      </c>
      <c r="B20" t="s">
        <v>15</v>
      </c>
      <c r="C20">
        <v>19180</v>
      </c>
      <c r="D20">
        <v>-18583</v>
      </c>
      <c r="E20">
        <v>39958</v>
      </c>
      <c r="F20">
        <v>480</v>
      </c>
      <c r="G20">
        <v>7</v>
      </c>
      <c r="H20">
        <v>4</v>
      </c>
      <c r="I20">
        <v>11</v>
      </c>
      <c r="J20">
        <v>1.9</v>
      </c>
      <c r="K20">
        <v>499</v>
      </c>
      <c r="L20">
        <v>0.61</v>
      </c>
      <c r="M20">
        <v>1.8</v>
      </c>
      <c r="N20" t="s">
        <v>15</v>
      </c>
      <c r="O20" t="s">
        <v>19</v>
      </c>
    </row>
    <row r="21" spans="1:15">
      <c r="A21" t="s">
        <v>41</v>
      </c>
      <c r="B21" t="s">
        <v>38</v>
      </c>
      <c r="C21">
        <v>17334</v>
      </c>
      <c r="D21">
        <v>-17327</v>
      </c>
      <c r="E21">
        <v>28472</v>
      </c>
      <c r="F21">
        <v>609</v>
      </c>
      <c r="G21">
        <v>11</v>
      </c>
      <c r="H21">
        <v>3</v>
      </c>
      <c r="I21">
        <v>-9</v>
      </c>
      <c r="J21">
        <v>1.7</v>
      </c>
      <c r="K21">
        <v>5979</v>
      </c>
      <c r="L21">
        <v>0.56000000000000005</v>
      </c>
      <c r="M21">
        <v>0</v>
      </c>
      <c r="N21" t="s">
        <v>38</v>
      </c>
      <c r="O21" t="s">
        <v>19</v>
      </c>
    </row>
    <row r="22" spans="1:15">
      <c r="A22" t="s">
        <v>42</v>
      </c>
      <c r="B22" t="s">
        <v>38</v>
      </c>
      <c r="C22">
        <v>17123</v>
      </c>
      <c r="D22">
        <v>-17123</v>
      </c>
      <c r="E22">
        <v>24420</v>
      </c>
      <c r="F22">
        <v>701</v>
      </c>
      <c r="G22">
        <v>0</v>
      </c>
      <c r="H22">
        <v>-7</v>
      </c>
      <c r="I22">
        <v>-25</v>
      </c>
      <c r="J22">
        <v>1.7</v>
      </c>
      <c r="K22">
        <v>3340</v>
      </c>
      <c r="L22">
        <v>0.65</v>
      </c>
      <c r="M22">
        <v>9.5</v>
      </c>
      <c r="N22" t="s">
        <v>38</v>
      </c>
      <c r="O22" t="s">
        <v>19</v>
      </c>
    </row>
    <row r="23" spans="1:15">
      <c r="A23" t="s">
        <v>43</v>
      </c>
      <c r="B23" t="s">
        <v>44</v>
      </c>
      <c r="C23">
        <v>16016</v>
      </c>
      <c r="D23">
        <v>-4412</v>
      </c>
      <c r="E23">
        <v>46171</v>
      </c>
      <c r="F23">
        <v>347</v>
      </c>
      <c r="G23">
        <v>3</v>
      </c>
      <c r="H23">
        <v>8</v>
      </c>
      <c r="I23">
        <v>-4</v>
      </c>
      <c r="J23">
        <v>1.6</v>
      </c>
      <c r="K23">
        <v>1616</v>
      </c>
      <c r="L23">
        <v>0.67</v>
      </c>
      <c r="M23">
        <v>5.9</v>
      </c>
      <c r="N23" t="s">
        <v>44</v>
      </c>
      <c r="O23" t="s">
        <v>19</v>
      </c>
    </row>
    <row r="24" spans="1:15">
      <c r="A24" t="s">
        <v>45</v>
      </c>
      <c r="B24" t="s">
        <v>27</v>
      </c>
      <c r="C24">
        <v>15912</v>
      </c>
      <c r="D24">
        <v>-5068</v>
      </c>
      <c r="E24">
        <v>17749</v>
      </c>
      <c r="F24">
        <v>897</v>
      </c>
      <c r="G24">
        <v>-20</v>
      </c>
      <c r="H24">
        <v>-23</v>
      </c>
      <c r="I24">
        <v>-7</v>
      </c>
      <c r="J24">
        <v>1.6</v>
      </c>
      <c r="K24">
        <v>2454</v>
      </c>
      <c r="L24">
        <v>0.37</v>
      </c>
      <c r="M24">
        <v>5.9</v>
      </c>
      <c r="N24" t="s">
        <v>27</v>
      </c>
      <c r="O24" t="s">
        <v>16</v>
      </c>
    </row>
    <row r="25" spans="1:15">
      <c r="A25" t="s">
        <v>46</v>
      </c>
      <c r="B25" t="s">
        <v>15</v>
      </c>
      <c r="C25">
        <v>15121</v>
      </c>
      <c r="D25">
        <v>37147</v>
      </c>
      <c r="E25">
        <v>42683</v>
      </c>
      <c r="F25">
        <v>354</v>
      </c>
      <c r="G25">
        <v>-4</v>
      </c>
      <c r="H25">
        <v>0</v>
      </c>
      <c r="I25">
        <v>30</v>
      </c>
      <c r="J25">
        <v>1.5</v>
      </c>
      <c r="K25">
        <v>585</v>
      </c>
      <c r="L25">
        <v>0.53</v>
      </c>
      <c r="M25">
        <v>1.8</v>
      </c>
      <c r="N25" t="s">
        <v>15</v>
      </c>
      <c r="O25" t="s">
        <v>19</v>
      </c>
    </row>
    <row r="26" spans="1:15">
      <c r="A26" t="s">
        <v>47</v>
      </c>
      <c r="B26" t="s">
        <v>15</v>
      </c>
      <c r="C26">
        <v>14334</v>
      </c>
      <c r="D26">
        <v>-12728</v>
      </c>
      <c r="E26">
        <v>18980</v>
      </c>
      <c r="F26">
        <v>755</v>
      </c>
      <c r="G26">
        <v>5</v>
      </c>
      <c r="H26">
        <v>-3</v>
      </c>
      <c r="I26">
        <v>-18</v>
      </c>
      <c r="J26">
        <v>1.4</v>
      </c>
      <c r="K26">
        <v>600</v>
      </c>
      <c r="L26">
        <v>0.32</v>
      </c>
      <c r="M26">
        <v>0</v>
      </c>
      <c r="N26" t="s">
        <v>15</v>
      </c>
      <c r="O26" t="s">
        <v>16</v>
      </c>
    </row>
    <row r="27" spans="1:15">
      <c r="A27" t="s">
        <v>48</v>
      </c>
      <c r="B27" t="s">
        <v>23</v>
      </c>
      <c r="C27">
        <v>13886</v>
      </c>
      <c r="D27">
        <v>-784</v>
      </c>
      <c r="E27">
        <v>25858</v>
      </c>
      <c r="F27">
        <v>537</v>
      </c>
      <c r="G27">
        <v>-4</v>
      </c>
      <c r="H27">
        <v>4</v>
      </c>
      <c r="I27">
        <v>-13</v>
      </c>
      <c r="J27">
        <v>1.4</v>
      </c>
      <c r="K27">
        <v>2489</v>
      </c>
      <c r="L27">
        <v>0.46</v>
      </c>
      <c r="M27">
        <v>2.7</v>
      </c>
      <c r="N27" t="s">
        <v>23</v>
      </c>
      <c r="O27" t="s">
        <v>16</v>
      </c>
    </row>
    <row r="28" spans="1:15">
      <c r="A28" t="s">
        <v>49</v>
      </c>
      <c r="B28" t="s">
        <v>25</v>
      </c>
      <c r="C28">
        <v>13109</v>
      </c>
      <c r="D28">
        <v>-12460</v>
      </c>
      <c r="E28">
        <v>19624</v>
      </c>
      <c r="F28">
        <v>668</v>
      </c>
      <c r="G28">
        <v>2</v>
      </c>
      <c r="H28">
        <v>-3</v>
      </c>
      <c r="I28">
        <v>-17</v>
      </c>
      <c r="J28">
        <v>1.3</v>
      </c>
      <c r="K28">
        <v>2721</v>
      </c>
      <c r="L28">
        <v>0.22</v>
      </c>
      <c r="M28">
        <v>0</v>
      </c>
      <c r="N28" t="s">
        <v>25</v>
      </c>
      <c r="O28" t="s">
        <v>16</v>
      </c>
    </row>
    <row r="29" spans="1:15">
      <c r="A29" t="s">
        <v>50</v>
      </c>
      <c r="B29" t="s">
        <v>38</v>
      </c>
      <c r="C29">
        <v>12760</v>
      </c>
      <c r="D29">
        <v>-12713</v>
      </c>
      <c r="E29">
        <v>21046</v>
      </c>
      <c r="F29">
        <v>606</v>
      </c>
      <c r="G29">
        <v>2</v>
      </c>
      <c r="H29">
        <v>-3</v>
      </c>
      <c r="I29">
        <v>-8</v>
      </c>
      <c r="J29">
        <v>1.3</v>
      </c>
      <c r="K29">
        <v>5022</v>
      </c>
      <c r="L29">
        <v>0.61</v>
      </c>
      <c r="M29">
        <v>0</v>
      </c>
      <c r="N29" t="s">
        <v>38</v>
      </c>
      <c r="O29" t="s">
        <v>19</v>
      </c>
    </row>
    <row r="30" spans="1:15">
      <c r="A30" t="s">
        <v>51</v>
      </c>
      <c r="B30" t="s">
        <v>18</v>
      </c>
      <c r="C30">
        <v>11868</v>
      </c>
      <c r="D30">
        <v>31469</v>
      </c>
      <c r="E30">
        <v>6416</v>
      </c>
      <c r="F30">
        <v>1850</v>
      </c>
      <c r="G30">
        <v>-7</v>
      </c>
      <c r="H30">
        <v>-18</v>
      </c>
      <c r="I30">
        <v>5</v>
      </c>
      <c r="J30">
        <v>1.2</v>
      </c>
      <c r="K30">
        <v>2323</v>
      </c>
      <c r="L30">
        <v>0.65</v>
      </c>
      <c r="M30">
        <v>0.3</v>
      </c>
      <c r="N30" t="s">
        <v>18</v>
      </c>
      <c r="O30" t="s">
        <v>19</v>
      </c>
    </row>
    <row r="31" spans="1:15">
      <c r="A31" t="s">
        <v>52</v>
      </c>
      <c r="B31" t="s">
        <v>15</v>
      </c>
      <c r="C31">
        <v>11640</v>
      </c>
      <c r="D31">
        <v>-6995</v>
      </c>
      <c r="E31">
        <v>25554</v>
      </c>
      <c r="F31">
        <v>456</v>
      </c>
      <c r="G31">
        <v>10</v>
      </c>
      <c r="H31">
        <v>5</v>
      </c>
      <c r="I31">
        <v>-14</v>
      </c>
      <c r="J31">
        <v>1.1000000000000001</v>
      </c>
      <c r="K31">
        <v>836</v>
      </c>
      <c r="L31">
        <v>0.23</v>
      </c>
      <c r="M31">
        <v>1.8</v>
      </c>
      <c r="N31" t="s">
        <v>15</v>
      </c>
      <c r="O31" t="s">
        <v>16</v>
      </c>
    </row>
    <row r="32" spans="1:15">
      <c r="A32" t="s">
        <v>53</v>
      </c>
      <c r="B32" t="s">
        <v>27</v>
      </c>
      <c r="C32">
        <v>10298</v>
      </c>
      <c r="D32">
        <v>6183</v>
      </c>
      <c r="E32">
        <v>23294</v>
      </c>
      <c r="F32">
        <v>442</v>
      </c>
      <c r="G32">
        <v>-1</v>
      </c>
      <c r="H32">
        <v>3</v>
      </c>
      <c r="I32">
        <v>8</v>
      </c>
      <c r="J32">
        <v>1</v>
      </c>
      <c r="K32">
        <v>1338</v>
      </c>
      <c r="L32">
        <v>0.75</v>
      </c>
      <c r="M32">
        <v>0.9</v>
      </c>
      <c r="N32" t="s">
        <v>27</v>
      </c>
      <c r="O32" t="s">
        <v>19</v>
      </c>
    </row>
    <row r="33" spans="1:15">
      <c r="A33" t="s">
        <v>54</v>
      </c>
      <c r="B33" t="s">
        <v>38</v>
      </c>
      <c r="C33">
        <v>9890</v>
      </c>
      <c r="D33">
        <v>-9497</v>
      </c>
      <c r="E33">
        <v>18215</v>
      </c>
      <c r="F33">
        <v>543</v>
      </c>
      <c r="G33">
        <v>3</v>
      </c>
      <c r="H33">
        <v>3</v>
      </c>
      <c r="I33">
        <v>-51</v>
      </c>
      <c r="J33">
        <v>1</v>
      </c>
      <c r="K33">
        <v>7679</v>
      </c>
      <c r="L33">
        <v>0.51</v>
      </c>
      <c r="M33">
        <v>0</v>
      </c>
      <c r="N33" t="s">
        <v>38</v>
      </c>
      <c r="O33" t="s">
        <v>19</v>
      </c>
    </row>
    <row r="34" spans="1:15">
      <c r="A34" t="s">
        <v>55</v>
      </c>
      <c r="B34" t="s">
        <v>15</v>
      </c>
      <c r="C34">
        <v>9204</v>
      </c>
      <c r="D34">
        <v>-5721</v>
      </c>
      <c r="E34">
        <v>40368</v>
      </c>
      <c r="F34">
        <v>228</v>
      </c>
      <c r="G34">
        <v>17</v>
      </c>
      <c r="H34">
        <v>4</v>
      </c>
      <c r="I34">
        <v>-71</v>
      </c>
      <c r="J34">
        <v>0.9</v>
      </c>
      <c r="K34">
        <v>4037</v>
      </c>
      <c r="L34">
        <v>0.22</v>
      </c>
      <c r="M34">
        <v>4.8</v>
      </c>
      <c r="N34" t="s">
        <v>15</v>
      </c>
      <c r="O34" t="s">
        <v>16</v>
      </c>
    </row>
    <row r="35" spans="1:15">
      <c r="A35" t="s">
        <v>56</v>
      </c>
      <c r="B35" t="s">
        <v>25</v>
      </c>
      <c r="C35">
        <v>9200</v>
      </c>
      <c r="D35">
        <v>-9200</v>
      </c>
      <c r="E35">
        <v>18062</v>
      </c>
      <c r="F35">
        <v>509</v>
      </c>
      <c r="G35">
        <v>22</v>
      </c>
      <c r="H35">
        <v>20</v>
      </c>
      <c r="I35">
        <v>10</v>
      </c>
      <c r="J35">
        <v>0.9</v>
      </c>
      <c r="K35">
        <v>2675</v>
      </c>
      <c r="L35">
        <v>0.42</v>
      </c>
      <c r="M35">
        <v>2.7</v>
      </c>
      <c r="N35" t="s">
        <v>25</v>
      </c>
      <c r="O35" t="s">
        <v>16</v>
      </c>
    </row>
    <row r="36" spans="1:15">
      <c r="A36" t="s">
        <v>57</v>
      </c>
      <c r="B36" t="s">
        <v>58</v>
      </c>
      <c r="C36">
        <v>8648</v>
      </c>
      <c r="D36">
        <v>-5223</v>
      </c>
      <c r="E36">
        <v>17053</v>
      </c>
      <c r="F36">
        <v>507</v>
      </c>
      <c r="G36">
        <v>27</v>
      </c>
      <c r="H36">
        <v>24</v>
      </c>
      <c r="I36">
        <v>-5</v>
      </c>
      <c r="J36">
        <v>0.8</v>
      </c>
      <c r="K36">
        <v>7318</v>
      </c>
      <c r="L36">
        <v>0.24</v>
      </c>
      <c r="M36">
        <v>3.1</v>
      </c>
      <c r="N36" t="s">
        <v>58</v>
      </c>
      <c r="O36" t="s">
        <v>16</v>
      </c>
    </row>
    <row r="37" spans="1:15">
      <c r="A37" t="s">
        <v>59</v>
      </c>
      <c r="B37" t="s">
        <v>23</v>
      </c>
      <c r="C37">
        <v>8513</v>
      </c>
      <c r="D37">
        <v>-8513</v>
      </c>
      <c r="E37">
        <v>14991</v>
      </c>
      <c r="F37">
        <v>568</v>
      </c>
      <c r="G37">
        <v>13</v>
      </c>
      <c r="H37">
        <v>13</v>
      </c>
      <c r="I37">
        <v>2</v>
      </c>
      <c r="J37">
        <v>0.8</v>
      </c>
      <c r="K37">
        <v>1601</v>
      </c>
      <c r="L37">
        <v>0.46</v>
      </c>
      <c r="M37">
        <v>0</v>
      </c>
      <c r="N37" t="s">
        <v>23</v>
      </c>
      <c r="O37" t="s">
        <v>16</v>
      </c>
    </row>
    <row r="38" spans="1:15">
      <c r="A38" t="s">
        <v>60</v>
      </c>
      <c r="B38" t="s">
        <v>15</v>
      </c>
      <c r="C38">
        <v>7397</v>
      </c>
      <c r="D38">
        <v>-7086</v>
      </c>
      <c r="E38">
        <v>15572</v>
      </c>
      <c r="F38">
        <v>475</v>
      </c>
      <c r="G38">
        <v>0</v>
      </c>
      <c r="H38">
        <v>4</v>
      </c>
      <c r="I38">
        <v>0</v>
      </c>
      <c r="J38">
        <v>0.7</v>
      </c>
      <c r="K38">
        <v>895</v>
      </c>
      <c r="L38">
        <v>0.43</v>
      </c>
      <c r="M38">
        <v>1.8</v>
      </c>
      <c r="N38" t="s">
        <v>15</v>
      </c>
      <c r="O38" t="s">
        <v>16</v>
      </c>
    </row>
    <row r="39" spans="1:15">
      <c r="A39" t="s">
        <v>61</v>
      </c>
      <c r="B39" t="s">
        <v>15</v>
      </c>
      <c r="C39">
        <v>7283</v>
      </c>
      <c r="D39">
        <v>-7254</v>
      </c>
      <c r="E39">
        <v>14280</v>
      </c>
      <c r="F39">
        <v>510</v>
      </c>
      <c r="G39">
        <v>-6</v>
      </c>
      <c r="H39">
        <v>4</v>
      </c>
      <c r="I39">
        <v>1</v>
      </c>
      <c r="J39">
        <v>0.7</v>
      </c>
      <c r="K39">
        <v>491</v>
      </c>
      <c r="L39">
        <v>0.4</v>
      </c>
      <c r="M39">
        <v>1.8</v>
      </c>
      <c r="N39" t="s">
        <v>15</v>
      </c>
      <c r="O39" t="s">
        <v>16</v>
      </c>
    </row>
    <row r="40" spans="1:15">
      <c r="A40" t="s">
        <v>62</v>
      </c>
      <c r="B40" t="s">
        <v>15</v>
      </c>
      <c r="C40">
        <v>6809</v>
      </c>
      <c r="D40">
        <v>-6135</v>
      </c>
      <c r="E40">
        <v>14692</v>
      </c>
      <c r="F40">
        <v>463</v>
      </c>
      <c r="G40">
        <v>2</v>
      </c>
      <c r="H40">
        <v>-2</v>
      </c>
      <c r="I40">
        <v>28</v>
      </c>
      <c r="J40">
        <v>0.7</v>
      </c>
      <c r="K40">
        <v>459</v>
      </c>
      <c r="L40">
        <v>0.28000000000000003</v>
      </c>
      <c r="M40">
        <v>1.8</v>
      </c>
      <c r="N40" t="s">
        <v>15</v>
      </c>
      <c r="O40" t="s">
        <v>16</v>
      </c>
    </row>
    <row r="41" spans="1:15">
      <c r="A41" t="s">
        <v>63</v>
      </c>
      <c r="B41" t="s">
        <v>15</v>
      </c>
      <c r="C41">
        <v>6408</v>
      </c>
      <c r="D41">
        <v>-2764</v>
      </c>
      <c r="E41">
        <v>13367</v>
      </c>
      <c r="F41">
        <v>479</v>
      </c>
      <c r="G41">
        <v>-15</v>
      </c>
      <c r="H41">
        <v>-12</v>
      </c>
      <c r="I41">
        <v>7</v>
      </c>
      <c r="J41">
        <v>0.6</v>
      </c>
      <c r="K41">
        <v>683</v>
      </c>
      <c r="L41">
        <v>0.48</v>
      </c>
      <c r="M41">
        <v>0</v>
      </c>
      <c r="N41" t="s">
        <v>15</v>
      </c>
      <c r="O41" t="s">
        <v>16</v>
      </c>
    </row>
    <row r="42" spans="1:15">
      <c r="A42" t="s">
        <v>64</v>
      </c>
      <c r="B42" t="s">
        <v>44</v>
      </c>
      <c r="C42">
        <v>6195</v>
      </c>
      <c r="D42">
        <v>-4006</v>
      </c>
      <c r="E42">
        <v>9074</v>
      </c>
      <c r="F42">
        <v>683</v>
      </c>
      <c r="G42">
        <v>4</v>
      </c>
      <c r="H42">
        <v>29</v>
      </c>
      <c r="I42">
        <v>-46</v>
      </c>
      <c r="J42">
        <v>0.6</v>
      </c>
      <c r="K42">
        <v>2910</v>
      </c>
      <c r="L42">
        <v>0.2</v>
      </c>
      <c r="M42">
        <v>0</v>
      </c>
      <c r="N42" t="s">
        <v>44</v>
      </c>
      <c r="O42" t="s">
        <v>16</v>
      </c>
    </row>
    <row r="43" spans="1:15">
      <c r="A43" t="s">
        <v>65</v>
      </c>
      <c r="B43" t="s">
        <v>66</v>
      </c>
      <c r="C43">
        <v>5792</v>
      </c>
      <c r="D43">
        <v>-3324</v>
      </c>
      <c r="E43">
        <v>10651</v>
      </c>
      <c r="F43">
        <v>544</v>
      </c>
      <c r="G43">
        <v>6</v>
      </c>
      <c r="H43">
        <v>1</v>
      </c>
      <c r="I43">
        <v>129</v>
      </c>
      <c r="J43">
        <v>0.6</v>
      </c>
      <c r="K43">
        <v>9298</v>
      </c>
      <c r="L43">
        <v>0.28999999999999998</v>
      </c>
      <c r="M43">
        <v>4.0999999999999996</v>
      </c>
      <c r="N43" t="s">
        <v>66</v>
      </c>
      <c r="O43" t="s">
        <v>16</v>
      </c>
    </row>
    <row r="44" spans="1:15">
      <c r="A44" t="s">
        <v>67</v>
      </c>
      <c r="B44" t="s">
        <v>44</v>
      </c>
      <c r="C44">
        <v>5050</v>
      </c>
      <c r="D44">
        <v>-4938</v>
      </c>
      <c r="E44">
        <v>6353</v>
      </c>
      <c r="F44">
        <v>795</v>
      </c>
      <c r="G44">
        <v>-10</v>
      </c>
      <c r="H44">
        <v>-16</v>
      </c>
      <c r="I44">
        <v>-22</v>
      </c>
      <c r="J44">
        <v>0.5</v>
      </c>
      <c r="K44">
        <v>2928</v>
      </c>
      <c r="L44">
        <v>0.37</v>
      </c>
      <c r="M44">
        <v>4.8</v>
      </c>
      <c r="N44" t="s">
        <v>44</v>
      </c>
      <c r="O44" t="s">
        <v>16</v>
      </c>
    </row>
    <row r="45" spans="1:15">
      <c r="A45" t="s">
        <v>68</v>
      </c>
      <c r="B45" t="s">
        <v>44</v>
      </c>
      <c r="C45">
        <v>4965</v>
      </c>
      <c r="D45">
        <v>-3648</v>
      </c>
      <c r="E45">
        <v>10584</v>
      </c>
      <c r="F45">
        <v>469</v>
      </c>
      <c r="G45">
        <v>5</v>
      </c>
      <c r="H45">
        <v>4</v>
      </c>
      <c r="I45">
        <v>21</v>
      </c>
      <c r="J45">
        <v>0.5</v>
      </c>
      <c r="K45">
        <v>3357</v>
      </c>
      <c r="L45">
        <v>0.51</v>
      </c>
      <c r="M45">
        <v>10.8</v>
      </c>
      <c r="N45" t="s">
        <v>44</v>
      </c>
      <c r="O45" t="s">
        <v>19</v>
      </c>
    </row>
    <row r="46" spans="1:15">
      <c r="A46" t="s">
        <v>69</v>
      </c>
      <c r="B46" t="s">
        <v>66</v>
      </c>
      <c r="C46">
        <v>4710</v>
      </c>
      <c r="D46">
        <v>-4710</v>
      </c>
      <c r="E46">
        <v>5636</v>
      </c>
      <c r="F46">
        <v>836</v>
      </c>
      <c r="G46">
        <v>34</v>
      </c>
      <c r="H46">
        <v>18</v>
      </c>
      <c r="I46">
        <v>7</v>
      </c>
      <c r="J46">
        <v>0.5</v>
      </c>
      <c r="K46">
        <v>8910</v>
      </c>
      <c r="L46">
        <v>0.26</v>
      </c>
      <c r="M46">
        <v>4.7</v>
      </c>
      <c r="N46" t="s">
        <v>66</v>
      </c>
      <c r="O46" t="s">
        <v>16</v>
      </c>
    </row>
    <row r="47" spans="1:15">
      <c r="A47" t="s">
        <v>70</v>
      </c>
      <c r="B47" t="s">
        <v>66</v>
      </c>
      <c r="C47">
        <v>4626</v>
      </c>
      <c r="D47">
        <v>-3542</v>
      </c>
      <c r="E47">
        <v>7588</v>
      </c>
      <c r="F47">
        <v>610</v>
      </c>
      <c r="G47">
        <v>-21</v>
      </c>
      <c r="H47">
        <v>-17</v>
      </c>
      <c r="I47">
        <v>-38</v>
      </c>
      <c r="J47">
        <v>0.5</v>
      </c>
      <c r="K47">
        <v>9635</v>
      </c>
      <c r="L47">
        <v>0.31</v>
      </c>
      <c r="M47">
        <v>4.0999999999999996</v>
      </c>
      <c r="N47" t="s">
        <v>66</v>
      </c>
      <c r="O47" t="s">
        <v>16</v>
      </c>
    </row>
    <row r="48" spans="1:15">
      <c r="A48" t="s">
        <v>71</v>
      </c>
      <c r="B48" t="s">
        <v>18</v>
      </c>
      <c r="C48">
        <v>4559</v>
      </c>
      <c r="D48">
        <v>-1491</v>
      </c>
      <c r="E48">
        <v>6982</v>
      </c>
      <c r="F48">
        <v>653</v>
      </c>
      <c r="G48">
        <v>10</v>
      </c>
      <c r="H48">
        <v>2</v>
      </c>
      <c r="I48">
        <v>-8</v>
      </c>
      <c r="J48">
        <v>0.4</v>
      </c>
      <c r="K48">
        <v>4158</v>
      </c>
      <c r="L48">
        <v>0.37</v>
      </c>
      <c r="M48">
        <v>0</v>
      </c>
      <c r="N48" t="s">
        <v>18</v>
      </c>
      <c r="O48" t="s">
        <v>16</v>
      </c>
    </row>
    <row r="49" spans="1:15">
      <c r="A49" t="s">
        <v>72</v>
      </c>
      <c r="B49" t="s">
        <v>15</v>
      </c>
      <c r="C49">
        <v>4420</v>
      </c>
      <c r="D49">
        <v>-4420</v>
      </c>
      <c r="E49">
        <v>9651</v>
      </c>
      <c r="F49">
        <v>458</v>
      </c>
      <c r="G49">
        <v>-19</v>
      </c>
      <c r="H49">
        <v>4</v>
      </c>
      <c r="I49">
        <v>-39</v>
      </c>
      <c r="J49">
        <v>0.4</v>
      </c>
      <c r="K49">
        <v>775</v>
      </c>
      <c r="L49">
        <v>0.64</v>
      </c>
      <c r="M49">
        <v>1.8</v>
      </c>
      <c r="N49" t="s">
        <v>15</v>
      </c>
      <c r="O49" t="s">
        <v>19</v>
      </c>
    </row>
    <row r="50" spans="1:15">
      <c r="A50" t="s">
        <v>73</v>
      </c>
      <c r="B50" t="s">
        <v>66</v>
      </c>
      <c r="C50">
        <v>3949</v>
      </c>
      <c r="D50">
        <v>-3816</v>
      </c>
      <c r="E50">
        <v>6473</v>
      </c>
      <c r="F50">
        <v>610</v>
      </c>
      <c r="G50">
        <v>8</v>
      </c>
      <c r="H50">
        <v>0</v>
      </c>
      <c r="I50">
        <v>-21</v>
      </c>
      <c r="J50">
        <v>0.4</v>
      </c>
      <c r="K50">
        <v>2776</v>
      </c>
      <c r="L50">
        <v>0.41</v>
      </c>
      <c r="M50">
        <v>0</v>
      </c>
      <c r="N50" t="s">
        <v>66</v>
      </c>
      <c r="O50" t="s">
        <v>16</v>
      </c>
    </row>
    <row r="51" spans="1:15">
      <c r="A51" t="s">
        <v>74</v>
      </c>
      <c r="B51" t="s">
        <v>66</v>
      </c>
      <c r="C51">
        <v>3601</v>
      </c>
      <c r="D51">
        <v>-3596</v>
      </c>
      <c r="E51">
        <v>5487</v>
      </c>
      <c r="F51">
        <v>656</v>
      </c>
      <c r="G51">
        <v>12</v>
      </c>
      <c r="H51">
        <v>9</v>
      </c>
      <c r="I51">
        <v>67</v>
      </c>
      <c r="J51">
        <v>0.4</v>
      </c>
      <c r="K51">
        <v>7392</v>
      </c>
      <c r="L51">
        <v>0.2</v>
      </c>
      <c r="M51">
        <v>0</v>
      </c>
      <c r="N51" t="s">
        <v>66</v>
      </c>
      <c r="O51" t="s">
        <v>16</v>
      </c>
    </row>
    <row r="52" spans="1:15">
      <c r="A52" t="s">
        <v>75</v>
      </c>
      <c r="B52" t="s">
        <v>25</v>
      </c>
      <c r="C52">
        <v>3432</v>
      </c>
      <c r="D52">
        <v>-3432</v>
      </c>
      <c r="E52">
        <v>6766</v>
      </c>
      <c r="F52">
        <v>507</v>
      </c>
      <c r="G52">
        <v>14</v>
      </c>
      <c r="H52">
        <v>7</v>
      </c>
      <c r="I52">
        <v>158</v>
      </c>
      <c r="J52">
        <v>0.3</v>
      </c>
      <c r="K52">
        <v>558</v>
      </c>
      <c r="L52">
        <v>0.82</v>
      </c>
      <c r="M52">
        <v>4.7</v>
      </c>
      <c r="N52" t="s">
        <v>25</v>
      </c>
      <c r="O52" t="s">
        <v>19</v>
      </c>
    </row>
    <row r="53" spans="1:15">
      <c r="A53" t="s">
        <v>76</v>
      </c>
      <c r="B53" t="s">
        <v>23</v>
      </c>
      <c r="C53">
        <v>3245</v>
      </c>
      <c r="D53">
        <v>-3071</v>
      </c>
      <c r="E53">
        <v>5952</v>
      </c>
      <c r="F53">
        <v>545</v>
      </c>
      <c r="G53">
        <v>6</v>
      </c>
      <c r="H53">
        <v>9</v>
      </c>
      <c r="I53">
        <v>-13</v>
      </c>
      <c r="J53">
        <v>0.3</v>
      </c>
      <c r="K53">
        <v>3511</v>
      </c>
      <c r="L53">
        <v>0.26</v>
      </c>
      <c r="M53">
        <v>4.5</v>
      </c>
      <c r="N53" t="s">
        <v>23</v>
      </c>
      <c r="O53" t="s">
        <v>16</v>
      </c>
    </row>
    <row r="54" spans="1:15">
      <c r="A54" t="s">
        <v>77</v>
      </c>
      <c r="B54" t="s">
        <v>44</v>
      </c>
      <c r="C54">
        <v>3191</v>
      </c>
      <c r="D54">
        <v>-3191</v>
      </c>
      <c r="E54">
        <v>4401</v>
      </c>
      <c r="F54">
        <v>725</v>
      </c>
      <c r="G54">
        <v>39</v>
      </c>
      <c r="H54">
        <v>4</v>
      </c>
      <c r="I54">
        <v>36</v>
      </c>
      <c r="J54">
        <v>0.3</v>
      </c>
      <c r="K54">
        <v>2151</v>
      </c>
      <c r="L54">
        <v>0.72</v>
      </c>
      <c r="M54">
        <v>1.8</v>
      </c>
      <c r="N54" t="s">
        <v>44</v>
      </c>
      <c r="O54" t="s">
        <v>19</v>
      </c>
    </row>
    <row r="55" spans="1:15">
      <c r="A55" t="s">
        <v>78</v>
      </c>
      <c r="B55" t="s">
        <v>15</v>
      </c>
      <c r="C55">
        <v>3056</v>
      </c>
      <c r="D55">
        <v>-2895</v>
      </c>
      <c r="E55">
        <v>3883</v>
      </c>
      <c r="F55">
        <v>787</v>
      </c>
      <c r="G55">
        <v>5</v>
      </c>
      <c r="H55">
        <v>-5</v>
      </c>
      <c r="I55">
        <v>14</v>
      </c>
      <c r="J55">
        <v>0.3</v>
      </c>
      <c r="K55">
        <v>1329</v>
      </c>
      <c r="L55">
        <v>0.31</v>
      </c>
      <c r="M55">
        <v>4</v>
      </c>
      <c r="N55" t="s">
        <v>15</v>
      </c>
      <c r="O55" t="s">
        <v>16</v>
      </c>
    </row>
    <row r="56" spans="1:15">
      <c r="A56" t="s">
        <v>79</v>
      </c>
      <c r="B56" t="s">
        <v>25</v>
      </c>
      <c r="C56">
        <v>3056</v>
      </c>
      <c r="D56">
        <v>-2904</v>
      </c>
      <c r="E56">
        <v>7159</v>
      </c>
      <c r="F56">
        <v>427</v>
      </c>
      <c r="G56">
        <v>45</v>
      </c>
      <c r="H56">
        <v>46</v>
      </c>
      <c r="I56">
        <v>-31</v>
      </c>
      <c r="J56">
        <v>0.3</v>
      </c>
      <c r="K56">
        <v>1871</v>
      </c>
      <c r="L56">
        <v>0.33</v>
      </c>
      <c r="M56">
        <v>3.3</v>
      </c>
      <c r="N56" t="s">
        <v>25</v>
      </c>
      <c r="O56" t="s">
        <v>16</v>
      </c>
    </row>
    <row r="57" spans="1:15">
      <c r="A57" t="s">
        <v>80</v>
      </c>
      <c r="B57" t="s">
        <v>66</v>
      </c>
      <c r="C57">
        <v>2879</v>
      </c>
      <c r="D57">
        <v>-2879</v>
      </c>
      <c r="E57">
        <v>4698</v>
      </c>
      <c r="F57">
        <v>613</v>
      </c>
      <c r="G57">
        <v>-1</v>
      </c>
      <c r="H57">
        <v>-14</v>
      </c>
      <c r="I57">
        <v>36</v>
      </c>
      <c r="J57">
        <v>0.3</v>
      </c>
      <c r="K57">
        <v>4668</v>
      </c>
      <c r="L57">
        <v>0.44</v>
      </c>
      <c r="M57">
        <v>4.7</v>
      </c>
      <c r="N57" t="s">
        <v>66</v>
      </c>
      <c r="O57" t="s">
        <v>16</v>
      </c>
    </row>
    <row r="58" spans="1:15">
      <c r="A58" t="s">
        <v>81</v>
      </c>
      <c r="B58" t="s">
        <v>15</v>
      </c>
      <c r="C58">
        <v>2836</v>
      </c>
      <c r="D58">
        <v>-2658</v>
      </c>
      <c r="E58">
        <v>2736</v>
      </c>
      <c r="F58">
        <v>1037</v>
      </c>
      <c r="G58">
        <v>12</v>
      </c>
      <c r="H58">
        <v>-1</v>
      </c>
      <c r="I58">
        <v>-5</v>
      </c>
      <c r="J58">
        <v>0.3</v>
      </c>
      <c r="K58">
        <v>859</v>
      </c>
      <c r="L58">
        <v>0.2</v>
      </c>
      <c r="M58">
        <v>1.8</v>
      </c>
      <c r="N58" t="s">
        <v>15</v>
      </c>
      <c r="O58" t="s">
        <v>16</v>
      </c>
    </row>
    <row r="59" spans="1:15">
      <c r="A59" t="s">
        <v>82</v>
      </c>
      <c r="B59" t="s">
        <v>23</v>
      </c>
      <c r="C59">
        <v>2767</v>
      </c>
      <c r="D59">
        <v>-1223</v>
      </c>
      <c r="E59">
        <v>2840</v>
      </c>
      <c r="F59">
        <v>974</v>
      </c>
      <c r="G59">
        <v>3</v>
      </c>
      <c r="H59">
        <v>-4</v>
      </c>
      <c r="I59">
        <v>13</v>
      </c>
      <c r="J59">
        <v>0.3</v>
      </c>
      <c r="K59">
        <v>5046</v>
      </c>
      <c r="L59">
        <v>0.21</v>
      </c>
      <c r="M59">
        <v>4.5</v>
      </c>
      <c r="N59" t="s">
        <v>23</v>
      </c>
      <c r="O59" t="s">
        <v>16</v>
      </c>
    </row>
    <row r="60" spans="1:15">
      <c r="A60" t="s">
        <v>83</v>
      </c>
      <c r="B60" t="s">
        <v>18</v>
      </c>
      <c r="C60">
        <v>2752</v>
      </c>
      <c r="D60">
        <v>-2735</v>
      </c>
      <c r="E60">
        <v>3827</v>
      </c>
      <c r="F60">
        <v>719</v>
      </c>
      <c r="G60">
        <v>17</v>
      </c>
      <c r="H60">
        <v>5</v>
      </c>
      <c r="I60">
        <v>16</v>
      </c>
      <c r="J60">
        <v>0.3</v>
      </c>
      <c r="K60">
        <v>4136</v>
      </c>
      <c r="L60">
        <v>0.48</v>
      </c>
      <c r="M60">
        <v>0</v>
      </c>
      <c r="N60" t="s">
        <v>18</v>
      </c>
      <c r="O60" t="s">
        <v>16</v>
      </c>
    </row>
    <row r="61" spans="1:15">
      <c r="A61" t="s">
        <v>84</v>
      </c>
      <c r="B61" t="s">
        <v>58</v>
      </c>
      <c r="C61">
        <v>2487</v>
      </c>
      <c r="D61">
        <v>-1482</v>
      </c>
      <c r="E61">
        <v>2882</v>
      </c>
      <c r="F61">
        <v>863</v>
      </c>
      <c r="G61">
        <v>-1</v>
      </c>
      <c r="H61">
        <v>4</v>
      </c>
      <c r="I61">
        <v>12</v>
      </c>
      <c r="J61">
        <v>0.2</v>
      </c>
      <c r="K61">
        <v>10432</v>
      </c>
      <c r="L61">
        <v>0.17</v>
      </c>
      <c r="M61">
        <v>0</v>
      </c>
      <c r="N61" t="s">
        <v>58</v>
      </c>
      <c r="O61" t="s">
        <v>16</v>
      </c>
    </row>
    <row r="62" spans="1:15">
      <c r="A62" t="s">
        <v>85</v>
      </c>
      <c r="B62" t="s">
        <v>15</v>
      </c>
      <c r="C62">
        <v>2465</v>
      </c>
      <c r="D62">
        <v>-2011</v>
      </c>
      <c r="E62">
        <v>3537</v>
      </c>
      <c r="F62">
        <v>697</v>
      </c>
      <c r="G62">
        <v>21</v>
      </c>
      <c r="H62">
        <v>8</v>
      </c>
      <c r="I62">
        <v>20</v>
      </c>
      <c r="J62">
        <v>0.2</v>
      </c>
      <c r="K62">
        <v>795</v>
      </c>
      <c r="L62">
        <v>0.22</v>
      </c>
      <c r="M62">
        <v>0.8</v>
      </c>
      <c r="N62" t="s">
        <v>15</v>
      </c>
      <c r="O62" t="s">
        <v>16</v>
      </c>
    </row>
    <row r="63" spans="1:15">
      <c r="A63" t="s">
        <v>86</v>
      </c>
      <c r="B63" t="s">
        <v>25</v>
      </c>
      <c r="C63">
        <v>2310</v>
      </c>
      <c r="D63">
        <v>51580</v>
      </c>
      <c r="E63">
        <v>2644</v>
      </c>
      <c r="F63">
        <v>874</v>
      </c>
      <c r="G63">
        <v>-4</v>
      </c>
      <c r="H63">
        <v>-5</v>
      </c>
      <c r="I63">
        <v>20</v>
      </c>
      <c r="J63">
        <v>0.2</v>
      </c>
      <c r="K63">
        <v>4930</v>
      </c>
      <c r="L63">
        <v>0.36</v>
      </c>
      <c r="M63">
        <v>2.2000000000000002</v>
      </c>
      <c r="N63" t="s">
        <v>25</v>
      </c>
      <c r="O63" t="s">
        <v>16</v>
      </c>
    </row>
    <row r="64" spans="1:15">
      <c r="A64" t="s">
        <v>87</v>
      </c>
      <c r="B64" t="s">
        <v>66</v>
      </c>
      <c r="C64">
        <v>2221</v>
      </c>
      <c r="D64">
        <v>-2130</v>
      </c>
      <c r="E64">
        <v>1931</v>
      </c>
      <c r="F64">
        <v>1150</v>
      </c>
      <c r="G64">
        <v>27</v>
      </c>
      <c r="H64">
        <v>15</v>
      </c>
      <c r="I64">
        <v>1491</v>
      </c>
      <c r="J64">
        <v>0.2</v>
      </c>
      <c r="K64">
        <v>6281</v>
      </c>
      <c r="L64">
        <v>0.33</v>
      </c>
      <c r="M64">
        <v>5</v>
      </c>
      <c r="N64" t="s">
        <v>66</v>
      </c>
      <c r="O64" t="s">
        <v>16</v>
      </c>
    </row>
    <row r="65" spans="1:15">
      <c r="A65" t="s">
        <v>88</v>
      </c>
      <c r="B65" t="s">
        <v>66</v>
      </c>
      <c r="C65">
        <v>2212</v>
      </c>
      <c r="D65">
        <v>-2212</v>
      </c>
      <c r="E65">
        <v>2911</v>
      </c>
      <c r="F65">
        <v>760</v>
      </c>
      <c r="G65">
        <v>20</v>
      </c>
      <c r="H65">
        <v>19</v>
      </c>
      <c r="I65">
        <v>8</v>
      </c>
      <c r="J65">
        <v>0.2</v>
      </c>
      <c r="K65">
        <v>4753</v>
      </c>
      <c r="L65">
        <v>0.27</v>
      </c>
      <c r="M65">
        <v>4.5</v>
      </c>
      <c r="N65" t="s">
        <v>66</v>
      </c>
      <c r="O65" t="s">
        <v>16</v>
      </c>
    </row>
    <row r="66" spans="1:15">
      <c r="A66" t="s">
        <v>89</v>
      </c>
      <c r="B66" t="s">
        <v>15</v>
      </c>
      <c r="C66">
        <v>2181</v>
      </c>
      <c r="D66">
        <v>-1980</v>
      </c>
      <c r="E66">
        <v>3364</v>
      </c>
      <c r="F66">
        <v>648</v>
      </c>
      <c r="G66">
        <v>1</v>
      </c>
      <c r="H66">
        <v>-2</v>
      </c>
      <c r="I66">
        <v>-12</v>
      </c>
      <c r="J66">
        <v>0.2</v>
      </c>
      <c r="K66">
        <v>2115</v>
      </c>
      <c r="L66">
        <v>0.2</v>
      </c>
      <c r="M66">
        <v>1.8</v>
      </c>
      <c r="N66" t="s">
        <v>15</v>
      </c>
      <c r="O66" t="s">
        <v>16</v>
      </c>
    </row>
    <row r="67" spans="1:15">
      <c r="A67" t="s">
        <v>90</v>
      </c>
      <c r="B67" t="s">
        <v>15</v>
      </c>
      <c r="C67">
        <v>2113</v>
      </c>
      <c r="D67">
        <v>-1989</v>
      </c>
      <c r="E67">
        <v>3950</v>
      </c>
      <c r="F67">
        <v>535</v>
      </c>
      <c r="G67">
        <v>7</v>
      </c>
      <c r="H67">
        <v>4</v>
      </c>
      <c r="I67">
        <v>7</v>
      </c>
      <c r="J67">
        <v>0.2</v>
      </c>
      <c r="K67">
        <v>1354</v>
      </c>
      <c r="L67">
        <v>0.12</v>
      </c>
      <c r="M67">
        <v>1.8</v>
      </c>
      <c r="N67" t="s">
        <v>15</v>
      </c>
      <c r="O67" t="s">
        <v>16</v>
      </c>
    </row>
    <row r="68" spans="1:15">
      <c r="A68" t="s">
        <v>91</v>
      </c>
      <c r="B68" t="s">
        <v>58</v>
      </c>
      <c r="C68">
        <v>2071</v>
      </c>
      <c r="D68">
        <v>-886</v>
      </c>
      <c r="E68">
        <v>2012</v>
      </c>
      <c r="F68">
        <v>1029</v>
      </c>
      <c r="G68">
        <v>30</v>
      </c>
      <c r="H68">
        <v>23</v>
      </c>
      <c r="I68">
        <v>12</v>
      </c>
      <c r="J68">
        <v>0.2</v>
      </c>
      <c r="K68">
        <v>2987</v>
      </c>
      <c r="L68">
        <v>0.94</v>
      </c>
      <c r="M68">
        <v>0</v>
      </c>
      <c r="N68" t="s">
        <v>58</v>
      </c>
      <c r="O68" t="s">
        <v>19</v>
      </c>
    </row>
    <row r="69" spans="1:15">
      <c r="A69" t="s">
        <v>92</v>
      </c>
      <c r="B69" t="s">
        <v>66</v>
      </c>
      <c r="C69">
        <v>2021</v>
      </c>
      <c r="D69">
        <v>-1981</v>
      </c>
      <c r="E69">
        <v>2863</v>
      </c>
      <c r="F69">
        <v>706</v>
      </c>
      <c r="G69">
        <v>-2</v>
      </c>
      <c r="H69">
        <v>-10</v>
      </c>
      <c r="I69">
        <v>-25</v>
      </c>
      <c r="J69">
        <v>0.2</v>
      </c>
      <c r="K69">
        <v>2050</v>
      </c>
      <c r="L69">
        <v>0.26</v>
      </c>
      <c r="M69">
        <v>1.7</v>
      </c>
      <c r="N69" t="s">
        <v>66</v>
      </c>
      <c r="O69" t="s">
        <v>16</v>
      </c>
    </row>
    <row r="70" spans="1:15">
      <c r="A70" t="s">
        <v>93</v>
      </c>
      <c r="B70" t="s">
        <v>66</v>
      </c>
      <c r="C70">
        <v>1964</v>
      </c>
      <c r="D70">
        <v>-1964</v>
      </c>
      <c r="E70">
        <v>2945</v>
      </c>
      <c r="F70">
        <v>667</v>
      </c>
      <c r="G70">
        <v>21</v>
      </c>
      <c r="H70">
        <v>39</v>
      </c>
      <c r="I70">
        <v>9</v>
      </c>
      <c r="J70">
        <v>0.2</v>
      </c>
      <c r="K70">
        <v>1808</v>
      </c>
      <c r="L70">
        <v>0.24</v>
      </c>
      <c r="M70">
        <v>12.2</v>
      </c>
      <c r="N70" t="s">
        <v>66</v>
      </c>
      <c r="O70" t="s">
        <v>16</v>
      </c>
    </row>
    <row r="71" spans="1:15">
      <c r="A71" t="s">
        <v>94</v>
      </c>
      <c r="B71" t="s">
        <v>66</v>
      </c>
      <c r="C71">
        <v>1799</v>
      </c>
      <c r="D71">
        <v>-1563</v>
      </c>
      <c r="E71">
        <v>2905</v>
      </c>
      <c r="F71">
        <v>619</v>
      </c>
      <c r="G71">
        <v>13</v>
      </c>
      <c r="H71">
        <v>8</v>
      </c>
      <c r="I71">
        <v>18</v>
      </c>
      <c r="J71">
        <v>0.2</v>
      </c>
      <c r="K71">
        <v>8396</v>
      </c>
      <c r="L71">
        <v>0.4</v>
      </c>
      <c r="M71">
        <v>0</v>
      </c>
      <c r="N71" t="s">
        <v>66</v>
      </c>
      <c r="O71" t="s">
        <v>16</v>
      </c>
    </row>
    <row r="72" spans="1:15">
      <c r="A72" t="s">
        <v>95</v>
      </c>
      <c r="B72" t="s">
        <v>15</v>
      </c>
      <c r="C72">
        <v>1791</v>
      </c>
      <c r="D72">
        <v>-1772</v>
      </c>
      <c r="E72">
        <v>3169</v>
      </c>
      <c r="F72">
        <v>565</v>
      </c>
      <c r="G72">
        <v>9</v>
      </c>
      <c r="H72">
        <v>4</v>
      </c>
      <c r="I72">
        <v>-16</v>
      </c>
      <c r="J72">
        <v>0.2</v>
      </c>
      <c r="K72">
        <v>2144</v>
      </c>
      <c r="L72">
        <v>0.41</v>
      </c>
      <c r="M72">
        <v>4.8</v>
      </c>
      <c r="N72" t="s">
        <v>15</v>
      </c>
      <c r="O72" t="s">
        <v>16</v>
      </c>
    </row>
    <row r="73" spans="1:15">
      <c r="A73" t="s">
        <v>96</v>
      </c>
      <c r="B73" t="s">
        <v>27</v>
      </c>
      <c r="C73">
        <v>1753</v>
      </c>
      <c r="D73">
        <v>75594</v>
      </c>
      <c r="E73">
        <v>1040</v>
      </c>
      <c r="F73">
        <v>1686</v>
      </c>
      <c r="G73">
        <v>-14</v>
      </c>
      <c r="H73">
        <v>-32</v>
      </c>
      <c r="I73">
        <v>-9</v>
      </c>
      <c r="J73">
        <v>0.2</v>
      </c>
      <c r="K73">
        <v>6019</v>
      </c>
      <c r="L73">
        <v>0.16</v>
      </c>
      <c r="M73">
        <v>3.1</v>
      </c>
      <c r="N73" t="s">
        <v>27</v>
      </c>
      <c r="O73" t="s">
        <v>16</v>
      </c>
    </row>
    <row r="74" spans="1:15">
      <c r="A74" t="s">
        <v>97</v>
      </c>
      <c r="B74" t="s">
        <v>66</v>
      </c>
      <c r="C74">
        <v>1697</v>
      </c>
      <c r="D74">
        <v>-1697</v>
      </c>
      <c r="E74">
        <v>1957</v>
      </c>
      <c r="F74">
        <v>867</v>
      </c>
      <c r="G74">
        <v>9</v>
      </c>
      <c r="H74">
        <v>1</v>
      </c>
      <c r="I74">
        <v>1</v>
      </c>
      <c r="J74">
        <v>0.2</v>
      </c>
      <c r="K74">
        <v>6626</v>
      </c>
      <c r="L74">
        <v>0.26</v>
      </c>
      <c r="M74">
        <v>4.7</v>
      </c>
      <c r="N74" t="s">
        <v>66</v>
      </c>
      <c r="O74" t="s">
        <v>16</v>
      </c>
    </row>
    <row r="75" spans="1:15">
      <c r="A75" t="s">
        <v>98</v>
      </c>
      <c r="B75" t="s">
        <v>15</v>
      </c>
      <c r="C75">
        <v>1693</v>
      </c>
      <c r="D75">
        <v>-1693</v>
      </c>
      <c r="E75">
        <v>2642</v>
      </c>
      <c r="F75">
        <v>641</v>
      </c>
      <c r="G75">
        <v>15</v>
      </c>
      <c r="H75">
        <v>10</v>
      </c>
      <c r="I75">
        <v>-1</v>
      </c>
      <c r="J75">
        <v>0.2</v>
      </c>
      <c r="K75">
        <v>764</v>
      </c>
      <c r="L75">
        <v>0.28999999999999998</v>
      </c>
      <c r="M75">
        <v>1.8</v>
      </c>
      <c r="N75" t="s">
        <v>15</v>
      </c>
      <c r="O75" t="s">
        <v>16</v>
      </c>
    </row>
    <row r="76" spans="1:15">
      <c r="A76" t="s">
        <v>99</v>
      </c>
      <c r="B76" t="s">
        <v>18</v>
      </c>
      <c r="C76">
        <v>1630</v>
      </c>
      <c r="D76">
        <v>-1581</v>
      </c>
      <c r="E76">
        <v>2449</v>
      </c>
      <c r="F76">
        <v>666</v>
      </c>
      <c r="G76">
        <v>1</v>
      </c>
      <c r="H76">
        <v>-3</v>
      </c>
      <c r="I76">
        <v>-40</v>
      </c>
      <c r="J76">
        <v>0.2</v>
      </c>
      <c r="K76">
        <v>4932</v>
      </c>
      <c r="L76">
        <v>0.34</v>
      </c>
      <c r="M76">
        <v>0</v>
      </c>
      <c r="N76" t="s">
        <v>18</v>
      </c>
      <c r="O76" t="s">
        <v>16</v>
      </c>
    </row>
    <row r="77" spans="1:15">
      <c r="A77" t="s">
        <v>100</v>
      </c>
      <c r="B77" t="s">
        <v>66</v>
      </c>
      <c r="C77">
        <v>1575</v>
      </c>
      <c r="D77">
        <v>-1298</v>
      </c>
      <c r="E77">
        <v>2527</v>
      </c>
      <c r="F77">
        <v>623</v>
      </c>
      <c r="G77">
        <v>12</v>
      </c>
      <c r="H77">
        <v>8</v>
      </c>
      <c r="I77">
        <v>-21</v>
      </c>
      <c r="J77">
        <v>0.2</v>
      </c>
      <c r="K77">
        <v>1332</v>
      </c>
      <c r="L77">
        <v>0.32</v>
      </c>
      <c r="M77">
        <v>0</v>
      </c>
      <c r="N77" t="s">
        <v>66</v>
      </c>
      <c r="O77" t="s">
        <v>16</v>
      </c>
    </row>
    <row r="78" spans="1:15">
      <c r="A78" t="s">
        <v>101</v>
      </c>
      <c r="B78" t="s">
        <v>18</v>
      </c>
      <c r="C78">
        <v>1550</v>
      </c>
      <c r="D78">
        <v>-1064</v>
      </c>
      <c r="E78">
        <v>1883</v>
      </c>
      <c r="F78">
        <v>823</v>
      </c>
      <c r="G78">
        <v>12</v>
      </c>
      <c r="H78">
        <v>3</v>
      </c>
      <c r="I78">
        <v>6</v>
      </c>
      <c r="J78">
        <v>0.2</v>
      </c>
      <c r="K78">
        <v>7032</v>
      </c>
      <c r="L78">
        <v>0.26</v>
      </c>
      <c r="M78">
        <v>0</v>
      </c>
      <c r="N78" t="s">
        <v>18</v>
      </c>
      <c r="O78" t="s">
        <v>16</v>
      </c>
    </row>
    <row r="79" spans="1:15">
      <c r="A79" t="s">
        <v>102</v>
      </c>
      <c r="B79" t="s">
        <v>38</v>
      </c>
      <c r="C79">
        <v>1532</v>
      </c>
      <c r="D79">
        <v>-1481</v>
      </c>
      <c r="E79">
        <v>2143</v>
      </c>
      <c r="F79">
        <v>715</v>
      </c>
      <c r="G79">
        <v>20</v>
      </c>
      <c r="H79">
        <v>20</v>
      </c>
      <c r="I79">
        <v>11</v>
      </c>
      <c r="J79">
        <v>0.2</v>
      </c>
      <c r="K79">
        <v>2431</v>
      </c>
      <c r="L79">
        <v>0.81</v>
      </c>
      <c r="M79">
        <v>9.6</v>
      </c>
      <c r="N79" t="s">
        <v>38</v>
      </c>
      <c r="O79" t="s">
        <v>19</v>
      </c>
    </row>
    <row r="80" spans="1:15">
      <c r="A80" t="s">
        <v>103</v>
      </c>
      <c r="B80" t="s">
        <v>23</v>
      </c>
      <c r="C80">
        <v>1463</v>
      </c>
      <c r="D80">
        <v>-1239</v>
      </c>
      <c r="E80">
        <v>926</v>
      </c>
      <c r="F80">
        <v>800</v>
      </c>
      <c r="G80">
        <v>18</v>
      </c>
      <c r="H80">
        <v>4</v>
      </c>
      <c r="I80">
        <v>0</v>
      </c>
      <c r="J80">
        <v>0.1</v>
      </c>
      <c r="K80">
        <v>2513</v>
      </c>
      <c r="L80">
        <v>0.39</v>
      </c>
      <c r="M80">
        <v>15</v>
      </c>
      <c r="N80" t="s">
        <v>23</v>
      </c>
      <c r="O80" t="s">
        <v>16</v>
      </c>
    </row>
    <row r="81" spans="1:15">
      <c r="A81" t="s">
        <v>104</v>
      </c>
      <c r="B81" t="s">
        <v>44</v>
      </c>
      <c r="C81">
        <v>1289</v>
      </c>
      <c r="D81">
        <v>-1261</v>
      </c>
      <c r="E81">
        <v>3299</v>
      </c>
      <c r="F81">
        <v>391</v>
      </c>
      <c r="G81">
        <v>-5</v>
      </c>
      <c r="H81">
        <v>0</v>
      </c>
      <c r="I81">
        <v>3</v>
      </c>
      <c r="J81">
        <v>0.1</v>
      </c>
      <c r="K81">
        <v>2413</v>
      </c>
      <c r="L81">
        <v>0.66</v>
      </c>
      <c r="M81">
        <v>0</v>
      </c>
      <c r="N81" t="s">
        <v>44</v>
      </c>
      <c r="O81" t="s">
        <v>19</v>
      </c>
    </row>
    <row r="82" spans="1:15">
      <c r="A82" t="s">
        <v>105</v>
      </c>
      <c r="B82" t="s">
        <v>18</v>
      </c>
      <c r="C82">
        <v>1159</v>
      </c>
      <c r="D82">
        <v>-1150</v>
      </c>
      <c r="E82">
        <v>997</v>
      </c>
      <c r="F82">
        <v>1162</v>
      </c>
      <c r="G82">
        <v>56</v>
      </c>
      <c r="H82">
        <v>59</v>
      </c>
      <c r="I82">
        <v>23</v>
      </c>
      <c r="J82">
        <v>0.1</v>
      </c>
      <c r="K82">
        <v>6132</v>
      </c>
      <c r="L82">
        <v>0.19</v>
      </c>
      <c r="M82">
        <v>0</v>
      </c>
      <c r="N82" t="s">
        <v>18</v>
      </c>
      <c r="O82" t="s">
        <v>16</v>
      </c>
    </row>
    <row r="83" spans="1:15">
      <c r="A83" t="s">
        <v>106</v>
      </c>
      <c r="B83" t="s">
        <v>23</v>
      </c>
      <c r="C83">
        <v>1126</v>
      </c>
      <c r="D83">
        <v>-1126</v>
      </c>
      <c r="E83">
        <v>1494</v>
      </c>
      <c r="F83">
        <v>754</v>
      </c>
      <c r="G83">
        <v>23</v>
      </c>
      <c r="H83">
        <v>18</v>
      </c>
      <c r="I83">
        <v>109</v>
      </c>
      <c r="J83">
        <v>0.1</v>
      </c>
      <c r="K83">
        <v>1462</v>
      </c>
      <c r="L83">
        <v>0.59</v>
      </c>
      <c r="M83">
        <v>0</v>
      </c>
      <c r="N83" t="s">
        <v>23</v>
      </c>
      <c r="O83" t="s">
        <v>19</v>
      </c>
    </row>
    <row r="84" spans="1:15">
      <c r="A84" t="s">
        <v>107</v>
      </c>
      <c r="B84" t="s">
        <v>38</v>
      </c>
      <c r="C84">
        <v>1102</v>
      </c>
      <c r="D84">
        <v>-1085</v>
      </c>
      <c r="E84">
        <v>1571</v>
      </c>
      <c r="F84">
        <v>701</v>
      </c>
      <c r="G84">
        <v>17</v>
      </c>
      <c r="H84">
        <v>11</v>
      </c>
      <c r="I84">
        <v>21</v>
      </c>
      <c r="J84">
        <v>0.1</v>
      </c>
      <c r="K84">
        <v>4395</v>
      </c>
      <c r="L84">
        <v>0.65</v>
      </c>
      <c r="M84">
        <v>9.6</v>
      </c>
      <c r="N84" t="s">
        <v>38</v>
      </c>
      <c r="O84" t="s">
        <v>19</v>
      </c>
    </row>
    <row r="85" spans="1:15">
      <c r="A85" t="s">
        <v>108</v>
      </c>
      <c r="B85" t="s">
        <v>23</v>
      </c>
      <c r="C85">
        <v>1065</v>
      </c>
      <c r="D85">
        <v>-1064</v>
      </c>
      <c r="E85">
        <v>1743</v>
      </c>
      <c r="F85">
        <v>611</v>
      </c>
      <c r="G85">
        <v>8</v>
      </c>
      <c r="H85">
        <v>8</v>
      </c>
      <c r="I85">
        <v>-41</v>
      </c>
      <c r="J85">
        <v>0.1</v>
      </c>
      <c r="K85">
        <v>1426</v>
      </c>
      <c r="L85">
        <v>0.44</v>
      </c>
      <c r="M85">
        <v>4.5</v>
      </c>
      <c r="N85" t="s">
        <v>23</v>
      </c>
      <c r="O85" t="s">
        <v>16</v>
      </c>
    </row>
    <row r="86" spans="1:15">
      <c r="A86" t="s">
        <v>109</v>
      </c>
      <c r="B86" t="s">
        <v>66</v>
      </c>
      <c r="C86">
        <v>1061</v>
      </c>
      <c r="D86">
        <v>-1061</v>
      </c>
      <c r="E86">
        <v>1780</v>
      </c>
      <c r="F86">
        <v>596</v>
      </c>
      <c r="G86">
        <v>55</v>
      </c>
      <c r="H86">
        <v>63</v>
      </c>
      <c r="I86">
        <v>-34</v>
      </c>
      <c r="J86">
        <v>0.1</v>
      </c>
      <c r="K86">
        <v>9695</v>
      </c>
      <c r="L86">
        <v>0.28999999999999998</v>
      </c>
      <c r="M86">
        <v>4.7</v>
      </c>
      <c r="N86" t="s">
        <v>66</v>
      </c>
      <c r="O86" t="s">
        <v>16</v>
      </c>
    </row>
    <row r="87" spans="1:15">
      <c r="A87" t="s">
        <v>110</v>
      </c>
      <c r="B87" t="s">
        <v>15</v>
      </c>
      <c r="C87">
        <v>936</v>
      </c>
      <c r="D87">
        <v>-164</v>
      </c>
      <c r="E87">
        <v>935</v>
      </c>
      <c r="F87">
        <v>1001</v>
      </c>
      <c r="G87">
        <v>21</v>
      </c>
      <c r="H87">
        <v>5</v>
      </c>
      <c r="I87">
        <v>-16</v>
      </c>
      <c r="J87">
        <v>0.1</v>
      </c>
      <c r="K87">
        <v>1202</v>
      </c>
      <c r="L87">
        <v>0.33</v>
      </c>
      <c r="M87">
        <v>1.8</v>
      </c>
      <c r="N87" t="s">
        <v>15</v>
      </c>
      <c r="O87" t="s">
        <v>16</v>
      </c>
    </row>
    <row r="88" spans="1:15">
      <c r="A88" t="s">
        <v>111</v>
      </c>
      <c r="B88" t="s">
        <v>38</v>
      </c>
      <c r="C88">
        <v>916</v>
      </c>
      <c r="D88">
        <v>60287</v>
      </c>
      <c r="E88">
        <v>334</v>
      </c>
      <c r="F88">
        <v>2743</v>
      </c>
      <c r="G88">
        <v>-11</v>
      </c>
      <c r="H88">
        <v>36</v>
      </c>
      <c r="I88">
        <v>-17</v>
      </c>
      <c r="J88">
        <v>0.1</v>
      </c>
      <c r="K88">
        <v>9531</v>
      </c>
      <c r="L88">
        <v>0.22</v>
      </c>
      <c r="M88">
        <v>9.5</v>
      </c>
      <c r="N88" t="s">
        <v>38</v>
      </c>
      <c r="O88" t="s">
        <v>16</v>
      </c>
    </row>
    <row r="89" spans="1:15">
      <c r="A89" t="s">
        <v>112</v>
      </c>
      <c r="B89" t="s">
        <v>66</v>
      </c>
      <c r="C89">
        <v>915</v>
      </c>
      <c r="D89">
        <v>-892</v>
      </c>
      <c r="E89">
        <v>1587</v>
      </c>
      <c r="F89">
        <v>577</v>
      </c>
      <c r="G89">
        <v>8</v>
      </c>
      <c r="H89">
        <v>2</v>
      </c>
      <c r="I89">
        <v>85</v>
      </c>
      <c r="J89">
        <v>0.1</v>
      </c>
      <c r="K89">
        <v>7942</v>
      </c>
      <c r="L89">
        <v>0.26</v>
      </c>
      <c r="M89">
        <v>0</v>
      </c>
      <c r="N89" t="s">
        <v>66</v>
      </c>
      <c r="O89" t="s">
        <v>16</v>
      </c>
    </row>
    <row r="90" spans="1:15">
      <c r="A90" t="s">
        <v>113</v>
      </c>
      <c r="B90" t="s">
        <v>15</v>
      </c>
      <c r="C90">
        <v>881</v>
      </c>
      <c r="D90">
        <v>-250</v>
      </c>
      <c r="E90">
        <v>1336</v>
      </c>
      <c r="F90">
        <v>659</v>
      </c>
      <c r="G90">
        <v>-9</v>
      </c>
      <c r="H90">
        <v>-17</v>
      </c>
      <c r="I90">
        <v>-34</v>
      </c>
      <c r="J90">
        <v>0.1</v>
      </c>
      <c r="K90">
        <v>1059</v>
      </c>
      <c r="L90">
        <v>0.19</v>
      </c>
      <c r="M90">
        <v>1.8</v>
      </c>
      <c r="N90" t="s">
        <v>15</v>
      </c>
      <c r="O90" t="s">
        <v>16</v>
      </c>
    </row>
    <row r="91" spans="1:15">
      <c r="A91" t="s">
        <v>114</v>
      </c>
      <c r="B91" t="s">
        <v>38</v>
      </c>
      <c r="C91">
        <v>880</v>
      </c>
      <c r="D91">
        <v>-880</v>
      </c>
      <c r="E91">
        <v>888</v>
      </c>
      <c r="F91">
        <v>991</v>
      </c>
      <c r="G91">
        <v>5</v>
      </c>
      <c r="H91">
        <v>0</v>
      </c>
      <c r="I91">
        <v>-10</v>
      </c>
      <c r="J91">
        <v>0.1</v>
      </c>
      <c r="K91">
        <v>7027</v>
      </c>
      <c r="L91">
        <v>0.35</v>
      </c>
      <c r="M91">
        <v>0</v>
      </c>
      <c r="N91" t="s">
        <v>38</v>
      </c>
      <c r="O91" t="s">
        <v>16</v>
      </c>
    </row>
    <row r="92" spans="1:15">
      <c r="A92" t="s">
        <v>115</v>
      </c>
      <c r="B92" t="s">
        <v>18</v>
      </c>
      <c r="C92">
        <v>796</v>
      </c>
      <c r="D92">
        <v>-734</v>
      </c>
      <c r="E92">
        <v>1012</v>
      </c>
      <c r="F92">
        <v>787</v>
      </c>
      <c r="G92">
        <v>1</v>
      </c>
      <c r="H92">
        <v>-11</v>
      </c>
      <c r="I92">
        <v>-51</v>
      </c>
      <c r="J92">
        <v>0.1</v>
      </c>
      <c r="K92">
        <v>5727</v>
      </c>
      <c r="L92">
        <v>0.47</v>
      </c>
      <c r="M92">
        <v>0</v>
      </c>
      <c r="N92" t="s">
        <v>18</v>
      </c>
      <c r="O92" t="s">
        <v>16</v>
      </c>
    </row>
    <row r="93" spans="1:15">
      <c r="A93" t="s">
        <v>116</v>
      </c>
      <c r="B93" t="s">
        <v>15</v>
      </c>
      <c r="C93">
        <v>787</v>
      </c>
      <c r="D93">
        <v>-611</v>
      </c>
      <c r="E93">
        <v>1076</v>
      </c>
      <c r="F93">
        <v>731</v>
      </c>
      <c r="G93">
        <v>5</v>
      </c>
      <c r="H93">
        <v>-6</v>
      </c>
      <c r="I93">
        <v>4</v>
      </c>
      <c r="J93">
        <v>0.1</v>
      </c>
      <c r="K93">
        <v>694</v>
      </c>
      <c r="L93">
        <v>0.2</v>
      </c>
      <c r="M93">
        <v>1.8</v>
      </c>
      <c r="N93" t="s">
        <v>15</v>
      </c>
      <c r="O93" t="s">
        <v>16</v>
      </c>
    </row>
    <row r="94" spans="1:15">
      <c r="A94" t="s">
        <v>117</v>
      </c>
      <c r="B94" t="s">
        <v>23</v>
      </c>
      <c r="C94">
        <v>724</v>
      </c>
      <c r="D94">
        <v>-724</v>
      </c>
      <c r="E94">
        <v>782</v>
      </c>
      <c r="F94">
        <v>926</v>
      </c>
      <c r="G94">
        <v>12</v>
      </c>
      <c r="H94">
        <v>4</v>
      </c>
      <c r="I94">
        <v>29</v>
      </c>
      <c r="J94">
        <v>0.1</v>
      </c>
      <c r="K94">
        <v>3774</v>
      </c>
      <c r="L94">
        <v>0.19</v>
      </c>
      <c r="M94">
        <v>1.8</v>
      </c>
      <c r="N94" t="s">
        <v>23</v>
      </c>
      <c r="O94" t="s">
        <v>16</v>
      </c>
    </row>
    <row r="95" spans="1:15">
      <c r="A95" t="s">
        <v>118</v>
      </c>
      <c r="B95" t="s">
        <v>44</v>
      </c>
      <c r="C95">
        <v>668</v>
      </c>
      <c r="D95">
        <v>-668</v>
      </c>
      <c r="E95">
        <v>741</v>
      </c>
      <c r="F95">
        <v>901</v>
      </c>
      <c r="G95">
        <v>18</v>
      </c>
      <c r="H95">
        <v>-1</v>
      </c>
      <c r="I95">
        <v>-28</v>
      </c>
      <c r="J95">
        <v>0.1</v>
      </c>
      <c r="K95">
        <v>3382</v>
      </c>
      <c r="L95">
        <v>0.28999999999999998</v>
      </c>
      <c r="M95">
        <v>4.8</v>
      </c>
      <c r="N95" t="s">
        <v>44</v>
      </c>
      <c r="O95" t="s">
        <v>16</v>
      </c>
    </row>
    <row r="96" spans="1:15">
      <c r="A96" t="s">
        <v>119</v>
      </c>
      <c r="B96" t="s">
        <v>66</v>
      </c>
      <c r="C96">
        <v>632</v>
      </c>
      <c r="D96">
        <v>-632</v>
      </c>
      <c r="E96">
        <v>1565</v>
      </c>
      <c r="F96">
        <v>404</v>
      </c>
      <c r="G96">
        <v>-16</v>
      </c>
      <c r="H96">
        <v>-32</v>
      </c>
      <c r="I96">
        <v>-3</v>
      </c>
      <c r="J96">
        <v>0.1</v>
      </c>
      <c r="K96">
        <v>3697</v>
      </c>
      <c r="L96">
        <v>0.65</v>
      </c>
      <c r="M96">
        <v>4.7</v>
      </c>
      <c r="N96" t="s">
        <v>66</v>
      </c>
      <c r="O96" t="s">
        <v>19</v>
      </c>
    </row>
    <row r="97" spans="1:15">
      <c r="A97" t="s">
        <v>120</v>
      </c>
      <c r="B97" t="s">
        <v>66</v>
      </c>
      <c r="C97">
        <v>629</v>
      </c>
      <c r="D97">
        <v>-619</v>
      </c>
      <c r="E97">
        <v>758</v>
      </c>
      <c r="F97">
        <v>830</v>
      </c>
      <c r="G97">
        <v>55</v>
      </c>
      <c r="H97">
        <v>50</v>
      </c>
      <c r="I97">
        <v>197</v>
      </c>
      <c r="J97">
        <v>0.1</v>
      </c>
      <c r="K97">
        <v>5771</v>
      </c>
      <c r="L97">
        <v>0.3</v>
      </c>
      <c r="M97">
        <v>4.2</v>
      </c>
      <c r="N97" t="s">
        <v>66</v>
      </c>
      <c r="O97" t="s">
        <v>16</v>
      </c>
    </row>
    <row r="98" spans="1:15">
      <c r="A98" t="s">
        <v>121</v>
      </c>
      <c r="B98" t="s">
        <v>66</v>
      </c>
      <c r="C98">
        <v>613</v>
      </c>
      <c r="D98">
        <v>-613</v>
      </c>
      <c r="E98">
        <v>595</v>
      </c>
      <c r="F98">
        <v>1030</v>
      </c>
      <c r="G98">
        <v>3</v>
      </c>
      <c r="H98">
        <v>1</v>
      </c>
      <c r="I98">
        <v>-23</v>
      </c>
      <c r="J98">
        <v>0.1</v>
      </c>
      <c r="K98">
        <v>7682</v>
      </c>
      <c r="L98">
        <v>0.26</v>
      </c>
      <c r="M98">
        <v>4.0999999999999996</v>
      </c>
      <c r="N98" t="s">
        <v>66</v>
      </c>
      <c r="O98" t="s">
        <v>16</v>
      </c>
    </row>
    <row r="99" spans="1:15">
      <c r="A99" t="s">
        <v>122</v>
      </c>
      <c r="B99" t="s">
        <v>27</v>
      </c>
      <c r="C99">
        <v>572</v>
      </c>
      <c r="D99">
        <v>-438</v>
      </c>
      <c r="E99">
        <v>896</v>
      </c>
      <c r="F99">
        <v>638</v>
      </c>
      <c r="G99">
        <v>4</v>
      </c>
      <c r="H99">
        <v>-1</v>
      </c>
      <c r="I99">
        <v>15</v>
      </c>
      <c r="J99">
        <v>0.1</v>
      </c>
      <c r="K99">
        <v>2244</v>
      </c>
      <c r="L99">
        <v>0.35</v>
      </c>
      <c r="M99">
        <v>0</v>
      </c>
      <c r="N99" t="s">
        <v>27</v>
      </c>
      <c r="O99" t="s">
        <v>16</v>
      </c>
    </row>
    <row r="100" spans="1:15">
      <c r="A100" t="s">
        <v>123</v>
      </c>
      <c r="B100" t="s">
        <v>66</v>
      </c>
      <c r="C100">
        <v>559</v>
      </c>
      <c r="D100">
        <v>-498</v>
      </c>
      <c r="E100">
        <v>1243</v>
      </c>
      <c r="F100">
        <v>450</v>
      </c>
      <c r="G100">
        <v>28</v>
      </c>
      <c r="H100">
        <v>18</v>
      </c>
      <c r="I100">
        <v>-31</v>
      </c>
      <c r="J100">
        <v>0.1</v>
      </c>
      <c r="K100">
        <v>8280</v>
      </c>
      <c r="L100">
        <v>0.32</v>
      </c>
      <c r="M100">
        <v>0</v>
      </c>
      <c r="N100" t="s">
        <v>66</v>
      </c>
      <c r="O100" t="s">
        <v>16</v>
      </c>
    </row>
    <row r="101" spans="1:15">
      <c r="A101" t="s">
        <v>124</v>
      </c>
      <c r="B101" t="s">
        <v>23</v>
      </c>
      <c r="C101">
        <v>544</v>
      </c>
      <c r="D101">
        <v>-544</v>
      </c>
      <c r="E101">
        <v>728</v>
      </c>
      <c r="F101">
        <v>747</v>
      </c>
      <c r="G101">
        <v>11</v>
      </c>
      <c r="H101">
        <v>7</v>
      </c>
      <c r="I101">
        <v>1</v>
      </c>
      <c r="J101">
        <v>0.1</v>
      </c>
      <c r="K101">
        <v>4292</v>
      </c>
      <c r="L101">
        <v>0.31</v>
      </c>
      <c r="M101">
        <v>4.5</v>
      </c>
      <c r="N101" t="s">
        <v>23</v>
      </c>
      <c r="O101" t="s">
        <v>16</v>
      </c>
    </row>
    <row r="102" spans="1:15">
      <c r="A102" t="s">
        <v>125</v>
      </c>
      <c r="B102" t="s">
        <v>66</v>
      </c>
      <c r="C102">
        <v>528</v>
      </c>
      <c r="D102">
        <v>-528</v>
      </c>
      <c r="E102">
        <v>459</v>
      </c>
      <c r="F102">
        <v>1150</v>
      </c>
      <c r="G102">
        <v>-11</v>
      </c>
      <c r="H102">
        <v>-12</v>
      </c>
      <c r="I102">
        <v>-10</v>
      </c>
      <c r="J102">
        <v>0.1</v>
      </c>
      <c r="K102">
        <v>2435</v>
      </c>
      <c r="L102">
        <v>0.62</v>
      </c>
      <c r="M102">
        <v>4.0999999999999996</v>
      </c>
      <c r="N102" t="s">
        <v>66</v>
      </c>
      <c r="O102" t="s">
        <v>19</v>
      </c>
    </row>
    <row r="103" spans="1:15">
      <c r="A103" t="s">
        <v>126</v>
      </c>
      <c r="B103" t="s">
        <v>66</v>
      </c>
      <c r="C103">
        <v>474</v>
      </c>
      <c r="D103">
        <v>-474</v>
      </c>
      <c r="E103">
        <v>616</v>
      </c>
      <c r="F103">
        <v>770</v>
      </c>
      <c r="G103">
        <v>-3</v>
      </c>
      <c r="H103">
        <v>4</v>
      </c>
      <c r="I103">
        <v>78</v>
      </c>
      <c r="J103">
        <v>0</v>
      </c>
      <c r="K103">
        <v>1779</v>
      </c>
      <c r="L103">
        <v>0.31</v>
      </c>
      <c r="M103">
        <v>4.5999999999999996</v>
      </c>
      <c r="N103" t="s">
        <v>66</v>
      </c>
      <c r="O103" t="s">
        <v>16</v>
      </c>
    </row>
    <row r="104" spans="1:15">
      <c r="A104" t="s">
        <v>127</v>
      </c>
      <c r="B104" t="s">
        <v>66</v>
      </c>
      <c r="C104">
        <v>424</v>
      </c>
      <c r="D104">
        <v>-415</v>
      </c>
      <c r="E104">
        <v>429</v>
      </c>
      <c r="F104">
        <v>988</v>
      </c>
      <c r="G104">
        <v>10</v>
      </c>
      <c r="H104">
        <v>20</v>
      </c>
      <c r="I104">
        <v>56</v>
      </c>
      <c r="J104">
        <v>0</v>
      </c>
      <c r="K104">
        <v>7649</v>
      </c>
      <c r="L104">
        <v>0.28999999999999998</v>
      </c>
      <c r="M104">
        <v>0</v>
      </c>
      <c r="N104" t="s">
        <v>66</v>
      </c>
      <c r="O104" t="s">
        <v>16</v>
      </c>
    </row>
    <row r="105" spans="1:15">
      <c r="A105" t="s">
        <v>128</v>
      </c>
      <c r="B105" t="s">
        <v>44</v>
      </c>
      <c r="C105">
        <v>415</v>
      </c>
      <c r="D105">
        <v>-415</v>
      </c>
      <c r="E105">
        <v>992</v>
      </c>
      <c r="F105">
        <v>418</v>
      </c>
      <c r="G105">
        <v>32</v>
      </c>
      <c r="H105">
        <v>43</v>
      </c>
      <c r="I105">
        <v>10</v>
      </c>
      <c r="J105">
        <v>0</v>
      </c>
      <c r="K105">
        <v>971</v>
      </c>
      <c r="L105">
        <v>0.87</v>
      </c>
      <c r="M105">
        <v>9.9</v>
      </c>
      <c r="N105" t="s">
        <v>44</v>
      </c>
      <c r="O105" t="s">
        <v>19</v>
      </c>
    </row>
    <row r="106" spans="1:15">
      <c r="A106" t="s">
        <v>129</v>
      </c>
      <c r="B106" t="s">
        <v>23</v>
      </c>
      <c r="C106">
        <v>413</v>
      </c>
      <c r="D106">
        <v>-413</v>
      </c>
      <c r="E106">
        <v>647</v>
      </c>
      <c r="F106">
        <v>638</v>
      </c>
      <c r="G106">
        <v>9</v>
      </c>
      <c r="H106">
        <v>0</v>
      </c>
      <c r="I106">
        <v>-20</v>
      </c>
      <c r="J106">
        <v>0</v>
      </c>
      <c r="K106">
        <v>1732</v>
      </c>
      <c r="L106">
        <v>0.28000000000000003</v>
      </c>
      <c r="M106">
        <v>4.5</v>
      </c>
      <c r="N106" t="s">
        <v>23</v>
      </c>
      <c r="O106" t="s">
        <v>16</v>
      </c>
    </row>
    <row r="107" spans="1:15">
      <c r="A107" t="s">
        <v>130</v>
      </c>
      <c r="B107" t="s">
        <v>15</v>
      </c>
      <c r="C107">
        <v>386</v>
      </c>
      <c r="D107">
        <v>-242</v>
      </c>
      <c r="E107">
        <v>447</v>
      </c>
      <c r="F107">
        <v>864</v>
      </c>
      <c r="G107">
        <v>28</v>
      </c>
      <c r="H107">
        <v>27</v>
      </c>
      <c r="I107">
        <v>10</v>
      </c>
      <c r="J107">
        <v>0</v>
      </c>
      <c r="K107">
        <v>812</v>
      </c>
      <c r="L107">
        <v>0.3</v>
      </c>
      <c r="M107">
        <v>1.8</v>
      </c>
      <c r="N107" t="s">
        <v>15</v>
      </c>
      <c r="O107" t="s">
        <v>16</v>
      </c>
    </row>
    <row r="108" spans="1:15">
      <c r="A108" t="s">
        <v>131</v>
      </c>
      <c r="B108" t="s">
        <v>25</v>
      </c>
      <c r="C108">
        <v>367</v>
      </c>
      <c r="D108">
        <v>-367</v>
      </c>
      <c r="E108">
        <v>1332</v>
      </c>
      <c r="F108">
        <v>276</v>
      </c>
      <c r="G108">
        <v>-6</v>
      </c>
      <c r="H108">
        <v>-9</v>
      </c>
      <c r="I108">
        <v>-72</v>
      </c>
      <c r="J108">
        <v>0</v>
      </c>
      <c r="K108">
        <v>681</v>
      </c>
      <c r="L108">
        <v>0.61</v>
      </c>
      <c r="M108">
        <v>1.4</v>
      </c>
      <c r="N108" t="s">
        <v>25</v>
      </c>
      <c r="O108" t="s">
        <v>19</v>
      </c>
    </row>
    <row r="109" spans="1:15">
      <c r="A109" t="s">
        <v>132</v>
      </c>
      <c r="B109" t="s">
        <v>23</v>
      </c>
      <c r="C109">
        <v>362</v>
      </c>
      <c r="D109">
        <v>-362</v>
      </c>
      <c r="E109">
        <v>434</v>
      </c>
      <c r="F109">
        <v>834</v>
      </c>
      <c r="G109">
        <v>2</v>
      </c>
      <c r="H109">
        <v>-15</v>
      </c>
      <c r="I109">
        <v>-39</v>
      </c>
      <c r="J109">
        <v>0</v>
      </c>
      <c r="K109">
        <v>4500</v>
      </c>
      <c r="L109">
        <v>0.15</v>
      </c>
      <c r="M109">
        <v>4.5</v>
      </c>
      <c r="N109" t="s">
        <v>23</v>
      </c>
      <c r="O109" t="s">
        <v>16</v>
      </c>
    </row>
    <row r="110" spans="1:15">
      <c r="A110" t="s">
        <v>133</v>
      </c>
      <c r="B110" t="s">
        <v>38</v>
      </c>
      <c r="C110">
        <v>341</v>
      </c>
      <c r="D110">
        <v>17</v>
      </c>
      <c r="E110">
        <v>369</v>
      </c>
      <c r="F110">
        <v>925</v>
      </c>
      <c r="G110">
        <v>46</v>
      </c>
      <c r="H110">
        <v>19</v>
      </c>
      <c r="I110">
        <v>-17</v>
      </c>
      <c r="J110">
        <v>0</v>
      </c>
      <c r="K110">
        <v>10439</v>
      </c>
      <c r="L110">
        <v>0.2</v>
      </c>
      <c r="M110">
        <v>9.6</v>
      </c>
      <c r="N110" t="s">
        <v>38</v>
      </c>
      <c r="O110" t="s">
        <v>16</v>
      </c>
    </row>
    <row r="111" spans="1:15">
      <c r="A111" t="s">
        <v>134</v>
      </c>
      <c r="B111" t="s">
        <v>18</v>
      </c>
      <c r="C111">
        <v>338</v>
      </c>
      <c r="D111">
        <v>-38</v>
      </c>
      <c r="E111">
        <v>347</v>
      </c>
      <c r="F111">
        <v>974</v>
      </c>
      <c r="G111">
        <v>-4</v>
      </c>
      <c r="H111">
        <v>-10</v>
      </c>
      <c r="I111">
        <v>15</v>
      </c>
      <c r="J111">
        <v>0</v>
      </c>
      <c r="K111">
        <v>10034</v>
      </c>
      <c r="L111">
        <v>0.26</v>
      </c>
      <c r="M111">
        <v>0</v>
      </c>
      <c r="N111" t="s">
        <v>18</v>
      </c>
      <c r="O111" t="s">
        <v>16</v>
      </c>
    </row>
    <row r="112" spans="1:15">
      <c r="A112" t="s">
        <v>135</v>
      </c>
      <c r="B112" t="s">
        <v>15</v>
      </c>
      <c r="C112">
        <v>306</v>
      </c>
      <c r="D112">
        <v>-283</v>
      </c>
      <c r="E112">
        <v>280</v>
      </c>
      <c r="F112">
        <v>1093</v>
      </c>
      <c r="G112">
        <v>15</v>
      </c>
      <c r="H112">
        <v>4</v>
      </c>
      <c r="I112">
        <v>13</v>
      </c>
      <c r="J112">
        <v>0</v>
      </c>
      <c r="K112">
        <v>1106</v>
      </c>
      <c r="L112">
        <v>0.32</v>
      </c>
      <c r="M112">
        <v>2.4</v>
      </c>
      <c r="N112" t="s">
        <v>15</v>
      </c>
      <c r="O112" t="s">
        <v>16</v>
      </c>
    </row>
    <row r="113" spans="1:15">
      <c r="A113" t="s">
        <v>136</v>
      </c>
      <c r="B113" t="s">
        <v>15</v>
      </c>
      <c r="C113">
        <v>288</v>
      </c>
      <c r="D113">
        <v>-288</v>
      </c>
      <c r="E113">
        <v>200</v>
      </c>
      <c r="F113">
        <v>1440</v>
      </c>
      <c r="G113">
        <v>9</v>
      </c>
      <c r="H113">
        <v>38</v>
      </c>
      <c r="I113">
        <v>36</v>
      </c>
      <c r="J113">
        <v>0</v>
      </c>
      <c r="K113">
        <v>1551</v>
      </c>
      <c r="L113">
        <v>0.49</v>
      </c>
      <c r="M113">
        <v>0</v>
      </c>
      <c r="N113" t="s">
        <v>15</v>
      </c>
      <c r="O113" t="s">
        <v>16</v>
      </c>
    </row>
    <row r="114" spans="1:15">
      <c r="A114" t="s">
        <v>137</v>
      </c>
      <c r="B114" t="s">
        <v>18</v>
      </c>
      <c r="C114">
        <v>276</v>
      </c>
      <c r="D114">
        <v>-276</v>
      </c>
      <c r="E114">
        <v>210</v>
      </c>
      <c r="F114">
        <v>1315</v>
      </c>
      <c r="G114">
        <v>42</v>
      </c>
      <c r="H114">
        <v>81</v>
      </c>
      <c r="I114">
        <v>12</v>
      </c>
      <c r="J114">
        <v>0</v>
      </c>
      <c r="K114">
        <v>3740</v>
      </c>
      <c r="L114">
        <v>0.56000000000000005</v>
      </c>
      <c r="M114">
        <v>0</v>
      </c>
      <c r="N114" t="s">
        <v>18</v>
      </c>
      <c r="O114" t="s">
        <v>19</v>
      </c>
    </row>
    <row r="115" spans="1:15">
      <c r="A115" t="s">
        <v>138</v>
      </c>
      <c r="B115" t="s">
        <v>44</v>
      </c>
      <c r="C115">
        <v>248</v>
      </c>
      <c r="D115">
        <v>27143</v>
      </c>
      <c r="E115">
        <v>247</v>
      </c>
      <c r="F115">
        <v>1004</v>
      </c>
      <c r="G115">
        <v>-20</v>
      </c>
      <c r="H115">
        <v>-38</v>
      </c>
      <c r="I115">
        <v>20</v>
      </c>
      <c r="J115">
        <v>0</v>
      </c>
      <c r="K115">
        <v>2020</v>
      </c>
      <c r="L115">
        <v>0.37</v>
      </c>
      <c r="M115">
        <v>10</v>
      </c>
      <c r="N115" t="s">
        <v>44</v>
      </c>
      <c r="O115" t="s">
        <v>16</v>
      </c>
    </row>
    <row r="116" spans="1:15">
      <c r="A116" t="s">
        <v>139</v>
      </c>
      <c r="B116" t="s">
        <v>66</v>
      </c>
      <c r="C116">
        <v>228</v>
      </c>
      <c r="D116">
        <v>-228</v>
      </c>
      <c r="E116">
        <v>393</v>
      </c>
      <c r="F116">
        <v>580</v>
      </c>
      <c r="G116">
        <v>17</v>
      </c>
      <c r="H116">
        <v>15</v>
      </c>
      <c r="I116">
        <v>53</v>
      </c>
      <c r="J116">
        <v>0</v>
      </c>
      <c r="K116">
        <v>9579</v>
      </c>
      <c r="L116">
        <v>0.5</v>
      </c>
      <c r="M116">
        <v>4.0999999999999996</v>
      </c>
      <c r="N116" t="s">
        <v>66</v>
      </c>
      <c r="O116" t="s">
        <v>16</v>
      </c>
    </row>
    <row r="117" spans="1:15">
      <c r="A117" t="s">
        <v>140</v>
      </c>
      <c r="B117" t="s">
        <v>15</v>
      </c>
      <c r="C117">
        <v>225</v>
      </c>
      <c r="D117">
        <v>-225</v>
      </c>
      <c r="E117">
        <v>71</v>
      </c>
      <c r="F117">
        <v>3169</v>
      </c>
      <c r="G117">
        <v>18</v>
      </c>
      <c r="H117">
        <v>15</v>
      </c>
      <c r="I117">
        <v>30</v>
      </c>
      <c r="J117">
        <v>0</v>
      </c>
      <c r="K117">
        <v>2146</v>
      </c>
      <c r="L117">
        <v>0.23</v>
      </c>
      <c r="M117">
        <v>0</v>
      </c>
      <c r="N117" t="s">
        <v>15</v>
      </c>
      <c r="O117" t="s">
        <v>16</v>
      </c>
    </row>
    <row r="118" spans="1:15">
      <c r="A118" t="s">
        <v>141</v>
      </c>
      <c r="B118" t="s">
        <v>15</v>
      </c>
      <c r="C118">
        <v>222</v>
      </c>
      <c r="D118">
        <v>-222</v>
      </c>
      <c r="E118">
        <v>164</v>
      </c>
      <c r="F118">
        <v>1354</v>
      </c>
      <c r="G118">
        <v>7</v>
      </c>
      <c r="H118">
        <v>-8</v>
      </c>
      <c r="I118">
        <v>-8</v>
      </c>
      <c r="J118">
        <v>0</v>
      </c>
      <c r="K118">
        <v>820</v>
      </c>
      <c r="L118">
        <v>0.15</v>
      </c>
      <c r="M118">
        <v>0</v>
      </c>
      <c r="N118" t="s">
        <v>15</v>
      </c>
      <c r="O118" t="s">
        <v>16</v>
      </c>
    </row>
    <row r="119" spans="1:15">
      <c r="A119" t="s">
        <v>142</v>
      </c>
      <c r="B119" t="s">
        <v>23</v>
      </c>
      <c r="C119">
        <v>221</v>
      </c>
      <c r="D119">
        <v>-175</v>
      </c>
      <c r="E119">
        <v>177</v>
      </c>
      <c r="F119">
        <v>1249</v>
      </c>
      <c r="G119">
        <v>7</v>
      </c>
      <c r="H119">
        <v>-8</v>
      </c>
      <c r="I119">
        <v>-35</v>
      </c>
      <c r="J119">
        <v>0</v>
      </c>
      <c r="K119">
        <v>2508</v>
      </c>
      <c r="L119">
        <v>0.33</v>
      </c>
      <c r="M119">
        <v>4.8</v>
      </c>
      <c r="N119" t="s">
        <v>23</v>
      </c>
      <c r="O119" t="s">
        <v>16</v>
      </c>
    </row>
    <row r="120" spans="1:15">
      <c r="A120" t="s">
        <v>143</v>
      </c>
      <c r="B120" t="s">
        <v>23</v>
      </c>
      <c r="C120">
        <v>216</v>
      </c>
      <c r="D120">
        <v>-216</v>
      </c>
      <c r="E120">
        <v>350</v>
      </c>
      <c r="F120">
        <v>617</v>
      </c>
      <c r="G120">
        <v>14</v>
      </c>
      <c r="H120">
        <v>20</v>
      </c>
      <c r="I120">
        <v>-44</v>
      </c>
      <c r="J120">
        <v>0</v>
      </c>
      <c r="K120">
        <v>1806</v>
      </c>
      <c r="L120">
        <v>0.39</v>
      </c>
      <c r="M120">
        <v>0</v>
      </c>
      <c r="N120" t="s">
        <v>23</v>
      </c>
      <c r="O120" t="s">
        <v>16</v>
      </c>
    </row>
    <row r="121" spans="1:15">
      <c r="A121" t="s">
        <v>144</v>
      </c>
      <c r="B121" t="s">
        <v>15</v>
      </c>
      <c r="C121">
        <v>205</v>
      </c>
      <c r="D121">
        <v>-205</v>
      </c>
      <c r="E121">
        <v>249</v>
      </c>
      <c r="F121">
        <v>823</v>
      </c>
      <c r="G121">
        <v>24</v>
      </c>
      <c r="H121">
        <v>27</v>
      </c>
      <c r="I121">
        <v>-63</v>
      </c>
      <c r="J121">
        <v>0</v>
      </c>
      <c r="K121">
        <v>2620</v>
      </c>
      <c r="L121">
        <v>0.45</v>
      </c>
      <c r="M121">
        <v>1.8</v>
      </c>
      <c r="N121" t="s">
        <v>15</v>
      </c>
      <c r="O121" t="s">
        <v>16</v>
      </c>
    </row>
    <row r="122" spans="1:15">
      <c r="A122" t="s">
        <v>145</v>
      </c>
      <c r="B122" t="s">
        <v>18</v>
      </c>
      <c r="C122">
        <v>200</v>
      </c>
      <c r="D122">
        <v>-182</v>
      </c>
      <c r="E122">
        <v>158</v>
      </c>
      <c r="F122">
        <v>1266</v>
      </c>
      <c r="G122">
        <v>8</v>
      </c>
      <c r="H122">
        <v>3</v>
      </c>
      <c r="I122">
        <v>-19</v>
      </c>
      <c r="J122">
        <v>0</v>
      </c>
      <c r="K122">
        <v>5946</v>
      </c>
      <c r="L122">
        <v>0.25</v>
      </c>
      <c r="M122">
        <v>0</v>
      </c>
      <c r="N122" t="s">
        <v>18</v>
      </c>
      <c r="O122" t="s">
        <v>16</v>
      </c>
    </row>
    <row r="123" spans="1:15">
      <c r="A123" t="s">
        <v>146</v>
      </c>
      <c r="B123" t="s">
        <v>66</v>
      </c>
      <c r="C123">
        <v>188</v>
      </c>
      <c r="D123">
        <v>-188</v>
      </c>
      <c r="E123">
        <v>134</v>
      </c>
      <c r="F123">
        <v>1403</v>
      </c>
      <c r="G123">
        <v>9</v>
      </c>
      <c r="H123">
        <v>9</v>
      </c>
      <c r="I123">
        <v>6</v>
      </c>
      <c r="J123">
        <v>0</v>
      </c>
      <c r="K123">
        <v>2029</v>
      </c>
      <c r="L123">
        <v>0.94</v>
      </c>
      <c r="M123">
        <v>0</v>
      </c>
      <c r="N123" t="s">
        <v>66</v>
      </c>
      <c r="O123" t="s">
        <v>19</v>
      </c>
    </row>
    <row r="124" spans="1:15">
      <c r="A124" t="s">
        <v>147</v>
      </c>
      <c r="B124" t="s">
        <v>18</v>
      </c>
      <c r="C124">
        <v>182</v>
      </c>
      <c r="D124">
        <v>-182</v>
      </c>
      <c r="E124">
        <v>54</v>
      </c>
      <c r="F124">
        <v>3370</v>
      </c>
      <c r="G124">
        <v>14</v>
      </c>
      <c r="H124">
        <v>6</v>
      </c>
      <c r="I124">
        <v>-4</v>
      </c>
      <c r="J124">
        <v>0</v>
      </c>
      <c r="K124">
        <v>4229</v>
      </c>
      <c r="L124">
        <v>0.93</v>
      </c>
      <c r="M124">
        <v>4.2</v>
      </c>
      <c r="N124" t="s">
        <v>18</v>
      </c>
      <c r="O124" t="s">
        <v>19</v>
      </c>
    </row>
    <row r="125" spans="1:15">
      <c r="A125" t="s">
        <v>148</v>
      </c>
      <c r="B125" t="s">
        <v>44</v>
      </c>
      <c r="C125">
        <v>178</v>
      </c>
      <c r="D125">
        <v>-178</v>
      </c>
      <c r="E125">
        <v>287</v>
      </c>
      <c r="F125">
        <v>620</v>
      </c>
      <c r="G125">
        <v>33</v>
      </c>
      <c r="H125">
        <v>4</v>
      </c>
      <c r="I125">
        <v>19</v>
      </c>
      <c r="J125">
        <v>0</v>
      </c>
      <c r="K125">
        <v>2850</v>
      </c>
      <c r="L125">
        <v>0.48</v>
      </c>
      <c r="M125">
        <v>1.8</v>
      </c>
      <c r="N125" t="s">
        <v>44</v>
      </c>
      <c r="O125" t="s">
        <v>16</v>
      </c>
    </row>
    <row r="126" spans="1:15">
      <c r="A126" t="s">
        <v>149</v>
      </c>
      <c r="B126" t="s">
        <v>15</v>
      </c>
      <c r="C126">
        <v>170</v>
      </c>
      <c r="D126">
        <v>-135</v>
      </c>
      <c r="E126">
        <v>556</v>
      </c>
      <c r="F126">
        <v>306</v>
      </c>
      <c r="G126">
        <v>6</v>
      </c>
      <c r="H126">
        <v>8</v>
      </c>
      <c r="I126">
        <v>6</v>
      </c>
      <c r="J126">
        <v>0</v>
      </c>
      <c r="K126">
        <v>232</v>
      </c>
      <c r="L126">
        <v>0.51</v>
      </c>
      <c r="M126">
        <v>1.8</v>
      </c>
      <c r="N126" t="s">
        <v>15</v>
      </c>
      <c r="O126" t="s">
        <v>19</v>
      </c>
    </row>
    <row r="127" spans="1:15">
      <c r="A127" t="s">
        <v>150</v>
      </c>
      <c r="B127" t="s">
        <v>15</v>
      </c>
      <c r="C127">
        <v>170</v>
      </c>
      <c r="D127">
        <v>-164</v>
      </c>
      <c r="E127">
        <v>193</v>
      </c>
      <c r="F127">
        <v>881</v>
      </c>
      <c r="G127">
        <v>0</v>
      </c>
      <c r="H127">
        <v>4</v>
      </c>
      <c r="I127">
        <v>-3</v>
      </c>
      <c r="J127">
        <v>0</v>
      </c>
      <c r="K127">
        <v>974</v>
      </c>
      <c r="L127">
        <v>0.23</v>
      </c>
      <c r="M127">
        <v>0</v>
      </c>
      <c r="N127" t="s">
        <v>15</v>
      </c>
      <c r="O127" t="s">
        <v>16</v>
      </c>
    </row>
    <row r="128" spans="1:15">
      <c r="A128" t="s">
        <v>151</v>
      </c>
      <c r="B128" t="s">
        <v>15</v>
      </c>
      <c r="C128">
        <v>167</v>
      </c>
      <c r="D128">
        <v>-167</v>
      </c>
      <c r="E128">
        <v>223</v>
      </c>
      <c r="F128">
        <v>750</v>
      </c>
      <c r="G128">
        <v>17</v>
      </c>
      <c r="H128">
        <v>4</v>
      </c>
      <c r="I128">
        <v>30</v>
      </c>
      <c r="J128">
        <v>0</v>
      </c>
      <c r="K128">
        <v>1755</v>
      </c>
      <c r="L128">
        <v>0.39</v>
      </c>
      <c r="M128">
        <v>0.6</v>
      </c>
      <c r="N128" t="s">
        <v>15</v>
      </c>
      <c r="O128" t="s">
        <v>16</v>
      </c>
    </row>
    <row r="129" spans="1:15">
      <c r="A129" t="s">
        <v>152</v>
      </c>
      <c r="B129" t="s">
        <v>27</v>
      </c>
      <c r="C129">
        <v>157</v>
      </c>
      <c r="D129">
        <v>-157</v>
      </c>
      <c r="E129">
        <v>172</v>
      </c>
      <c r="F129">
        <v>913</v>
      </c>
      <c r="G129">
        <v>14</v>
      </c>
      <c r="H129">
        <v>12</v>
      </c>
      <c r="I129">
        <v>-55</v>
      </c>
      <c r="J129">
        <v>0</v>
      </c>
      <c r="K129">
        <v>2866</v>
      </c>
      <c r="L129">
        <v>0.45</v>
      </c>
      <c r="M129">
        <v>5</v>
      </c>
      <c r="N129" t="s">
        <v>27</v>
      </c>
      <c r="O129" t="s">
        <v>16</v>
      </c>
    </row>
    <row r="130" spans="1:15">
      <c r="A130" t="s">
        <v>153</v>
      </c>
      <c r="B130" t="s">
        <v>58</v>
      </c>
      <c r="C130">
        <v>152</v>
      </c>
      <c r="D130">
        <v>-152</v>
      </c>
      <c r="E130">
        <v>94</v>
      </c>
      <c r="F130">
        <v>1617</v>
      </c>
      <c r="G130">
        <v>42</v>
      </c>
      <c r="H130">
        <v>34</v>
      </c>
      <c r="I130">
        <v>56</v>
      </c>
      <c r="J130">
        <v>0</v>
      </c>
      <c r="K130">
        <v>4623</v>
      </c>
      <c r="L130">
        <v>0.51</v>
      </c>
      <c r="M130">
        <v>4.9000000000000004</v>
      </c>
      <c r="N130" t="s">
        <v>58</v>
      </c>
      <c r="O130" t="s">
        <v>19</v>
      </c>
    </row>
    <row r="131" spans="1:15">
      <c r="A131" t="s">
        <v>154</v>
      </c>
      <c r="B131" t="s">
        <v>66</v>
      </c>
      <c r="C131">
        <v>147</v>
      </c>
      <c r="D131">
        <v>-147</v>
      </c>
      <c r="E131">
        <v>146</v>
      </c>
      <c r="F131">
        <v>1007</v>
      </c>
      <c r="G131">
        <v>27</v>
      </c>
      <c r="H131">
        <v>39</v>
      </c>
      <c r="I131">
        <v>-66</v>
      </c>
      <c r="J131">
        <v>0</v>
      </c>
      <c r="K131">
        <v>8001</v>
      </c>
      <c r="L131">
        <v>0.47</v>
      </c>
      <c r="M131">
        <v>0</v>
      </c>
      <c r="N131" t="s">
        <v>66</v>
      </c>
      <c r="O131" t="s">
        <v>16</v>
      </c>
    </row>
    <row r="132" spans="1:15">
      <c r="A132" t="s">
        <v>155</v>
      </c>
      <c r="B132" t="s">
        <v>66</v>
      </c>
      <c r="C132">
        <v>123</v>
      </c>
      <c r="D132">
        <v>-123</v>
      </c>
      <c r="E132">
        <v>120</v>
      </c>
      <c r="F132">
        <v>1025</v>
      </c>
      <c r="G132">
        <v>-8</v>
      </c>
      <c r="H132">
        <v>4</v>
      </c>
      <c r="I132">
        <v>-44</v>
      </c>
      <c r="J132">
        <v>0</v>
      </c>
      <c r="K132">
        <v>6049</v>
      </c>
      <c r="L132">
        <v>0.19</v>
      </c>
      <c r="M132">
        <v>4.9000000000000004</v>
      </c>
      <c r="N132" t="s">
        <v>66</v>
      </c>
      <c r="O132" t="s">
        <v>16</v>
      </c>
    </row>
    <row r="133" spans="1:15">
      <c r="A133" t="s">
        <v>156</v>
      </c>
      <c r="B133" t="s">
        <v>44</v>
      </c>
      <c r="C133">
        <v>120</v>
      </c>
      <c r="D133">
        <v>-120</v>
      </c>
      <c r="E133">
        <v>84</v>
      </c>
      <c r="F133">
        <v>1429</v>
      </c>
      <c r="G133">
        <v>21</v>
      </c>
      <c r="H133">
        <v>24</v>
      </c>
      <c r="I133">
        <v>-11</v>
      </c>
      <c r="J133">
        <v>0</v>
      </c>
      <c r="K133">
        <v>1984</v>
      </c>
      <c r="L133">
        <v>0.36</v>
      </c>
      <c r="M133">
        <v>4.7</v>
      </c>
      <c r="N133" t="s">
        <v>44</v>
      </c>
      <c r="O133" t="s">
        <v>16</v>
      </c>
    </row>
    <row r="134" spans="1:15">
      <c r="A134" t="s">
        <v>157</v>
      </c>
      <c r="B134" t="s">
        <v>66</v>
      </c>
      <c r="C134">
        <v>119</v>
      </c>
      <c r="D134">
        <v>-119</v>
      </c>
      <c r="E134">
        <v>126</v>
      </c>
      <c r="F134">
        <v>944</v>
      </c>
      <c r="G134">
        <v>8</v>
      </c>
      <c r="H134">
        <v>13</v>
      </c>
      <c r="I134">
        <v>16</v>
      </c>
      <c r="J134">
        <v>0</v>
      </c>
      <c r="K134">
        <v>5457</v>
      </c>
      <c r="L134">
        <v>0.41</v>
      </c>
      <c r="M134">
        <v>2.4</v>
      </c>
      <c r="N134" t="s">
        <v>66</v>
      </c>
      <c r="O134" t="s">
        <v>16</v>
      </c>
    </row>
    <row r="135" spans="1:15">
      <c r="A135" t="s">
        <v>158</v>
      </c>
      <c r="B135" t="s">
        <v>15</v>
      </c>
      <c r="C135">
        <v>114</v>
      </c>
      <c r="D135">
        <v>-114</v>
      </c>
      <c r="E135">
        <v>123</v>
      </c>
      <c r="F135">
        <v>927</v>
      </c>
      <c r="G135">
        <v>20</v>
      </c>
      <c r="H135">
        <v>10</v>
      </c>
      <c r="I135">
        <v>-1</v>
      </c>
      <c r="J135">
        <v>0</v>
      </c>
      <c r="K135">
        <v>762</v>
      </c>
      <c r="L135">
        <v>0.78</v>
      </c>
      <c r="M135">
        <v>1.7</v>
      </c>
      <c r="N135" t="s">
        <v>15</v>
      </c>
      <c r="O135" t="s">
        <v>19</v>
      </c>
    </row>
    <row r="136" spans="1:15">
      <c r="A136" t="s">
        <v>159</v>
      </c>
      <c r="B136" t="s">
        <v>66</v>
      </c>
      <c r="C136">
        <v>97</v>
      </c>
      <c r="D136">
        <v>-97</v>
      </c>
      <c r="E136">
        <v>90</v>
      </c>
      <c r="F136">
        <v>1078</v>
      </c>
      <c r="G136">
        <v>26</v>
      </c>
      <c r="H136">
        <v>20</v>
      </c>
      <c r="I136">
        <v>52</v>
      </c>
      <c r="J136">
        <v>0</v>
      </c>
      <c r="K136">
        <v>1940</v>
      </c>
      <c r="L136">
        <v>0.6</v>
      </c>
      <c r="M136">
        <v>0</v>
      </c>
      <c r="N136" t="s">
        <v>66</v>
      </c>
      <c r="O136" t="s">
        <v>19</v>
      </c>
    </row>
    <row r="137" spans="1:15">
      <c r="A137" t="s">
        <v>160</v>
      </c>
      <c r="B137" t="s">
        <v>66</v>
      </c>
      <c r="C137">
        <v>96</v>
      </c>
      <c r="D137">
        <v>-94</v>
      </c>
      <c r="E137">
        <v>225</v>
      </c>
      <c r="F137">
        <v>427</v>
      </c>
      <c r="G137">
        <v>-30</v>
      </c>
      <c r="H137">
        <v>25</v>
      </c>
      <c r="I137">
        <v>-18</v>
      </c>
      <c r="J137">
        <v>0</v>
      </c>
      <c r="K137">
        <v>6747</v>
      </c>
      <c r="L137">
        <v>0.66</v>
      </c>
      <c r="M137">
        <v>26</v>
      </c>
      <c r="N137" t="s">
        <v>66</v>
      </c>
      <c r="O137" t="s">
        <v>19</v>
      </c>
    </row>
    <row r="138" spans="1:15">
      <c r="A138" t="s">
        <v>161</v>
      </c>
      <c r="B138" t="s">
        <v>66</v>
      </c>
      <c r="C138">
        <v>86</v>
      </c>
      <c r="D138">
        <v>-86</v>
      </c>
      <c r="E138">
        <v>22</v>
      </c>
      <c r="F138">
        <v>3909</v>
      </c>
      <c r="G138">
        <v>12</v>
      </c>
      <c r="H138">
        <v>14</v>
      </c>
      <c r="I138">
        <v>70</v>
      </c>
      <c r="J138">
        <v>0</v>
      </c>
      <c r="K138">
        <v>5858</v>
      </c>
      <c r="L138">
        <v>0.57999999999999996</v>
      </c>
      <c r="M138">
        <v>4.9000000000000004</v>
      </c>
      <c r="N138" t="s">
        <v>66</v>
      </c>
      <c r="O138" t="s">
        <v>19</v>
      </c>
    </row>
    <row r="139" spans="1:15">
      <c r="A139" t="s">
        <v>162</v>
      </c>
      <c r="B139" t="s">
        <v>18</v>
      </c>
      <c r="C139">
        <v>79</v>
      </c>
      <c r="D139">
        <v>-79</v>
      </c>
      <c r="E139">
        <v>45</v>
      </c>
      <c r="F139">
        <v>1756</v>
      </c>
      <c r="G139">
        <v>-14</v>
      </c>
      <c r="H139">
        <v>4</v>
      </c>
      <c r="I139">
        <v>-59</v>
      </c>
      <c r="J139">
        <v>0</v>
      </c>
      <c r="K139">
        <v>4192</v>
      </c>
      <c r="L139">
        <v>0.38</v>
      </c>
      <c r="M139">
        <v>6.4</v>
      </c>
      <c r="N139" t="s">
        <v>18</v>
      </c>
      <c r="O139" t="s">
        <v>16</v>
      </c>
    </row>
    <row r="140" spans="1:15">
      <c r="A140" t="s">
        <v>163</v>
      </c>
      <c r="B140" t="s">
        <v>66</v>
      </c>
      <c r="C140">
        <v>63</v>
      </c>
      <c r="D140">
        <v>-63</v>
      </c>
      <c r="E140">
        <v>102</v>
      </c>
      <c r="F140">
        <v>618</v>
      </c>
      <c r="G140">
        <v>156</v>
      </c>
      <c r="H140">
        <v>329</v>
      </c>
      <c r="I140">
        <v>1158</v>
      </c>
      <c r="J140">
        <v>0</v>
      </c>
      <c r="K140">
        <v>8058</v>
      </c>
      <c r="L140">
        <v>0.97</v>
      </c>
      <c r="M140">
        <v>4.7</v>
      </c>
      <c r="N140" t="s">
        <v>66</v>
      </c>
      <c r="O140" t="s">
        <v>19</v>
      </c>
    </row>
    <row r="141" spans="1:15">
      <c r="A141" t="s">
        <v>164</v>
      </c>
      <c r="B141" t="s">
        <v>38</v>
      </c>
      <c r="C141">
        <v>61</v>
      </c>
      <c r="D141">
        <v>-61</v>
      </c>
      <c r="E141">
        <v>29</v>
      </c>
      <c r="F141">
        <v>2103</v>
      </c>
      <c r="G141">
        <v>45</v>
      </c>
      <c r="H141">
        <v>20</v>
      </c>
      <c r="I141">
        <v>42</v>
      </c>
      <c r="J141">
        <v>0</v>
      </c>
      <c r="K141">
        <v>5728</v>
      </c>
      <c r="L141">
        <v>0.3</v>
      </c>
      <c r="M141">
        <v>4.0999999999999996</v>
      </c>
      <c r="N141" t="s">
        <v>38</v>
      </c>
      <c r="O141" t="s">
        <v>16</v>
      </c>
    </row>
    <row r="142" spans="1:15">
      <c r="A142" t="s">
        <v>165</v>
      </c>
      <c r="B142" t="s">
        <v>66</v>
      </c>
      <c r="C142">
        <v>61</v>
      </c>
      <c r="D142">
        <v>-61</v>
      </c>
      <c r="E142">
        <v>80</v>
      </c>
      <c r="F142">
        <v>763</v>
      </c>
      <c r="G142">
        <v>8</v>
      </c>
      <c r="H142">
        <v>6</v>
      </c>
      <c r="I142">
        <v>-16</v>
      </c>
      <c r="J142">
        <v>0</v>
      </c>
      <c r="K142">
        <v>1181</v>
      </c>
      <c r="L142">
        <v>0.91</v>
      </c>
      <c r="M142">
        <v>4.2</v>
      </c>
      <c r="N142" t="s">
        <v>66</v>
      </c>
      <c r="O142" t="s">
        <v>19</v>
      </c>
    </row>
    <row r="143" spans="1:15">
      <c r="A143" t="s">
        <v>166</v>
      </c>
      <c r="B143" t="s">
        <v>18</v>
      </c>
      <c r="C143">
        <v>57</v>
      </c>
      <c r="D143">
        <v>-57</v>
      </c>
      <c r="E143">
        <v>37</v>
      </c>
      <c r="F143">
        <v>1525</v>
      </c>
      <c r="G143">
        <v>-10</v>
      </c>
      <c r="H143">
        <v>4</v>
      </c>
      <c r="I143">
        <v>-2</v>
      </c>
      <c r="J143">
        <v>0</v>
      </c>
      <c r="K143">
        <v>2054</v>
      </c>
      <c r="L143">
        <v>0.56999999999999995</v>
      </c>
      <c r="M143">
        <v>4.2</v>
      </c>
      <c r="N143" t="s">
        <v>18</v>
      </c>
      <c r="O143" t="s">
        <v>19</v>
      </c>
    </row>
    <row r="144" spans="1:15">
      <c r="A144" t="s">
        <v>167</v>
      </c>
      <c r="B144" t="s">
        <v>18</v>
      </c>
      <c r="C144">
        <v>55</v>
      </c>
      <c r="D144">
        <v>-55</v>
      </c>
      <c r="E144">
        <v>38</v>
      </c>
      <c r="F144">
        <v>1447</v>
      </c>
      <c r="G144">
        <v>39</v>
      </c>
      <c r="H144">
        <v>76</v>
      </c>
      <c r="I144">
        <v>-15</v>
      </c>
      <c r="J144">
        <v>0</v>
      </c>
      <c r="K144">
        <v>3649</v>
      </c>
      <c r="L144">
        <v>1</v>
      </c>
      <c r="M144">
        <v>12</v>
      </c>
      <c r="N144" t="s">
        <v>18</v>
      </c>
      <c r="O144" t="s">
        <v>19</v>
      </c>
    </row>
    <row r="145" spans="1:15">
      <c r="A145" t="s">
        <v>168</v>
      </c>
      <c r="B145" t="s">
        <v>15</v>
      </c>
      <c r="C145">
        <v>53</v>
      </c>
      <c r="D145">
        <v>-53</v>
      </c>
      <c r="E145">
        <v>55</v>
      </c>
      <c r="F145">
        <v>964</v>
      </c>
      <c r="G145">
        <v>2</v>
      </c>
      <c r="H145">
        <v>-5</v>
      </c>
      <c r="I145">
        <v>10</v>
      </c>
      <c r="J145">
        <v>0</v>
      </c>
      <c r="K145">
        <v>1197</v>
      </c>
      <c r="L145">
        <v>0.31</v>
      </c>
      <c r="M145">
        <v>1.8</v>
      </c>
      <c r="N145" t="s">
        <v>15</v>
      </c>
      <c r="O145" t="s">
        <v>16</v>
      </c>
    </row>
    <row r="146" spans="1:15">
      <c r="A146" t="s">
        <v>169</v>
      </c>
      <c r="B146" t="s">
        <v>23</v>
      </c>
      <c r="C146">
        <v>49</v>
      </c>
      <c r="D146">
        <v>-49</v>
      </c>
      <c r="E146">
        <v>86</v>
      </c>
      <c r="F146">
        <v>570</v>
      </c>
      <c r="G146">
        <v>-21</v>
      </c>
      <c r="H146">
        <v>-20</v>
      </c>
      <c r="I146">
        <v>-88</v>
      </c>
      <c r="J146">
        <v>0</v>
      </c>
      <c r="K146">
        <v>7582</v>
      </c>
      <c r="L146">
        <v>0.88</v>
      </c>
      <c r="M146">
        <v>0.9</v>
      </c>
      <c r="N146" t="s">
        <v>23</v>
      </c>
      <c r="O146" t="s">
        <v>19</v>
      </c>
    </row>
    <row r="147" spans="1:15">
      <c r="A147" t="s">
        <v>170</v>
      </c>
      <c r="B147" t="s">
        <v>18</v>
      </c>
      <c r="C147">
        <v>42</v>
      </c>
      <c r="D147">
        <v>-42</v>
      </c>
      <c r="E147">
        <v>5</v>
      </c>
      <c r="F147">
        <v>8400</v>
      </c>
      <c r="G147">
        <v>1</v>
      </c>
      <c r="H147">
        <v>13</v>
      </c>
      <c r="I147">
        <v>26</v>
      </c>
      <c r="J147">
        <v>0</v>
      </c>
      <c r="K147">
        <v>2022</v>
      </c>
      <c r="L147">
        <v>1</v>
      </c>
      <c r="M147">
        <v>39.700000000000003</v>
      </c>
      <c r="N147" t="s">
        <v>18</v>
      </c>
      <c r="O147" t="s">
        <v>19</v>
      </c>
    </row>
    <row r="148" spans="1:15">
      <c r="A148" t="s">
        <v>171</v>
      </c>
      <c r="B148" t="s">
        <v>66</v>
      </c>
      <c r="C148">
        <v>37</v>
      </c>
      <c r="D148">
        <v>-35</v>
      </c>
      <c r="E148">
        <v>119</v>
      </c>
      <c r="F148">
        <v>311</v>
      </c>
      <c r="G148">
        <v>-12</v>
      </c>
      <c r="H148">
        <v>10</v>
      </c>
      <c r="I148">
        <v>-18</v>
      </c>
      <c r="J148">
        <v>0</v>
      </c>
      <c r="K148">
        <v>369</v>
      </c>
      <c r="L148">
        <v>1</v>
      </c>
      <c r="M148">
        <v>4.2</v>
      </c>
      <c r="N148" t="s">
        <v>66</v>
      </c>
      <c r="O148" t="s">
        <v>19</v>
      </c>
    </row>
    <row r="149" spans="1:15">
      <c r="A149" t="s">
        <v>172</v>
      </c>
      <c r="B149" t="s">
        <v>66</v>
      </c>
      <c r="C149">
        <v>36</v>
      </c>
      <c r="D149">
        <v>-36</v>
      </c>
      <c r="E149">
        <v>43</v>
      </c>
      <c r="F149">
        <v>837</v>
      </c>
      <c r="G149">
        <v>-1</v>
      </c>
      <c r="H149">
        <v>-2</v>
      </c>
      <c r="I149">
        <v>-34</v>
      </c>
      <c r="J149">
        <v>0</v>
      </c>
      <c r="K149">
        <v>4970</v>
      </c>
      <c r="L149">
        <v>0.31</v>
      </c>
      <c r="M149">
        <v>0</v>
      </c>
      <c r="N149" t="s">
        <v>66</v>
      </c>
      <c r="O149" t="s">
        <v>16</v>
      </c>
    </row>
    <row r="150" spans="1:15">
      <c r="A150" t="s">
        <v>173</v>
      </c>
      <c r="B150" t="s">
        <v>18</v>
      </c>
      <c r="C150">
        <v>35</v>
      </c>
      <c r="D150">
        <v>-35</v>
      </c>
      <c r="E150">
        <v>3</v>
      </c>
      <c r="F150">
        <v>11667</v>
      </c>
      <c r="G150">
        <v>0</v>
      </c>
      <c r="H150">
        <v>-21</v>
      </c>
      <c r="I150">
        <v>3</v>
      </c>
      <c r="J150">
        <v>0</v>
      </c>
      <c r="K150">
        <v>2067</v>
      </c>
      <c r="L150">
        <v>1</v>
      </c>
      <c r="M150">
        <v>25</v>
      </c>
      <c r="N150" t="s">
        <v>18</v>
      </c>
      <c r="O150" t="s">
        <v>19</v>
      </c>
    </row>
    <row r="151" spans="1:15">
      <c r="A151" t="s">
        <v>174</v>
      </c>
      <c r="B151" t="s">
        <v>66</v>
      </c>
      <c r="C151">
        <v>34</v>
      </c>
      <c r="D151">
        <v>-34</v>
      </c>
      <c r="E151">
        <v>41</v>
      </c>
      <c r="F151">
        <v>829</v>
      </c>
      <c r="G151">
        <v>-35</v>
      </c>
      <c r="H151">
        <v>4</v>
      </c>
      <c r="I151">
        <v>-87</v>
      </c>
      <c r="J151">
        <v>0</v>
      </c>
      <c r="K151">
        <v>2813</v>
      </c>
      <c r="L151">
        <v>1</v>
      </c>
      <c r="M151">
        <v>1.8</v>
      </c>
      <c r="N151" t="s">
        <v>66</v>
      </c>
      <c r="O151" t="s">
        <v>19</v>
      </c>
    </row>
    <row r="152" spans="1:15">
      <c r="A152" t="s">
        <v>175</v>
      </c>
      <c r="B152" t="s">
        <v>66</v>
      </c>
      <c r="C152">
        <v>32</v>
      </c>
      <c r="D152">
        <v>-32</v>
      </c>
      <c r="E152">
        <v>31</v>
      </c>
      <c r="F152">
        <v>1025</v>
      </c>
      <c r="G152">
        <v>21</v>
      </c>
      <c r="H152">
        <v>4</v>
      </c>
      <c r="I152">
        <v>-73</v>
      </c>
      <c r="J152">
        <v>0</v>
      </c>
      <c r="K152">
        <v>4344</v>
      </c>
      <c r="L152">
        <v>0.39</v>
      </c>
      <c r="M152">
        <v>5</v>
      </c>
      <c r="N152" t="s">
        <v>66</v>
      </c>
      <c r="O152" t="s">
        <v>16</v>
      </c>
    </row>
    <row r="153" spans="1:15">
      <c r="A153" t="s">
        <v>176</v>
      </c>
      <c r="B153" t="s">
        <v>38</v>
      </c>
      <c r="C153">
        <v>29</v>
      </c>
      <c r="D153">
        <v>-29</v>
      </c>
      <c r="E153">
        <v>26</v>
      </c>
      <c r="F153">
        <v>1115</v>
      </c>
      <c r="G153">
        <v>38</v>
      </c>
      <c r="H153">
        <v>58</v>
      </c>
      <c r="I153">
        <v>45</v>
      </c>
      <c r="J153">
        <v>0</v>
      </c>
      <c r="K153">
        <v>8051</v>
      </c>
      <c r="L153">
        <v>0.38</v>
      </c>
      <c r="M153">
        <v>4.0999999999999996</v>
      </c>
      <c r="N153" t="s">
        <v>38</v>
      </c>
      <c r="O153" t="s">
        <v>16</v>
      </c>
    </row>
    <row r="154" spans="1:15">
      <c r="A154" t="s">
        <v>177</v>
      </c>
      <c r="B154" t="s">
        <v>58</v>
      </c>
      <c r="C154">
        <v>28</v>
      </c>
      <c r="D154">
        <v>-28</v>
      </c>
      <c r="E154">
        <v>3</v>
      </c>
      <c r="F154">
        <v>9333</v>
      </c>
      <c r="G154">
        <v>-13</v>
      </c>
      <c r="H154">
        <v>-47</v>
      </c>
      <c r="I154">
        <v>17</v>
      </c>
      <c r="J154">
        <v>0</v>
      </c>
      <c r="K154">
        <v>15959</v>
      </c>
      <c r="L154">
        <v>0.39</v>
      </c>
      <c r="M154">
        <v>7.8</v>
      </c>
      <c r="N154" t="s">
        <v>58</v>
      </c>
      <c r="O154" t="s">
        <v>16</v>
      </c>
    </row>
    <row r="155" spans="1:15">
      <c r="A155" t="s">
        <v>178</v>
      </c>
      <c r="B155" t="s">
        <v>27</v>
      </c>
      <c r="C155">
        <v>28</v>
      </c>
      <c r="D155">
        <v>42</v>
      </c>
      <c r="E155">
        <v>92</v>
      </c>
      <c r="F155">
        <v>304</v>
      </c>
      <c r="G155">
        <v>43</v>
      </c>
      <c r="H155">
        <v>4</v>
      </c>
      <c r="I155">
        <v>0.5</v>
      </c>
      <c r="J155">
        <v>0</v>
      </c>
      <c r="K155">
        <v>840</v>
      </c>
      <c r="L155">
        <v>1</v>
      </c>
      <c r="M155">
        <v>1.8</v>
      </c>
      <c r="N155" t="s">
        <v>27</v>
      </c>
      <c r="O155" t="s">
        <v>19</v>
      </c>
    </row>
    <row r="156" spans="1:15">
      <c r="A156" t="s">
        <v>179</v>
      </c>
      <c r="B156" t="s">
        <v>66</v>
      </c>
      <c r="C156">
        <v>21</v>
      </c>
      <c r="D156">
        <v>-21</v>
      </c>
      <c r="E156">
        <v>5</v>
      </c>
      <c r="F156">
        <v>4200</v>
      </c>
      <c r="G156">
        <v>5</v>
      </c>
      <c r="H156">
        <v>-10</v>
      </c>
      <c r="I156">
        <v>-75</v>
      </c>
      <c r="J156">
        <v>0</v>
      </c>
      <c r="K156">
        <v>7095</v>
      </c>
      <c r="L156">
        <v>0.32</v>
      </c>
      <c r="M156">
        <v>0</v>
      </c>
      <c r="N156" t="s">
        <v>66</v>
      </c>
      <c r="O156" t="s">
        <v>16</v>
      </c>
    </row>
    <row r="157" spans="1:15">
      <c r="A157" t="s">
        <v>180</v>
      </c>
      <c r="B157" t="s">
        <v>44</v>
      </c>
      <c r="C157">
        <v>17</v>
      </c>
      <c r="D157">
        <v>-17</v>
      </c>
      <c r="E157">
        <v>13</v>
      </c>
      <c r="F157">
        <v>1308</v>
      </c>
      <c r="G157">
        <v>3</v>
      </c>
      <c r="H157">
        <v>3</v>
      </c>
      <c r="I157">
        <v>11</v>
      </c>
      <c r="J157">
        <v>0</v>
      </c>
      <c r="K157">
        <v>1298</v>
      </c>
      <c r="L157">
        <v>1</v>
      </c>
      <c r="M157">
        <v>4.9000000000000004</v>
      </c>
      <c r="N157" t="s">
        <v>44</v>
      </c>
      <c r="O157" t="s">
        <v>19</v>
      </c>
    </row>
    <row r="158" spans="1:15">
      <c r="A158" t="s">
        <v>181</v>
      </c>
      <c r="B158" t="s">
        <v>18</v>
      </c>
      <c r="C158">
        <v>16</v>
      </c>
      <c r="D158">
        <v>-16</v>
      </c>
      <c r="E158">
        <v>6</v>
      </c>
      <c r="F158">
        <v>2667</v>
      </c>
      <c r="G158">
        <v>-13</v>
      </c>
      <c r="H158">
        <v>-13</v>
      </c>
      <c r="I158">
        <v>-22</v>
      </c>
      <c r="J158">
        <v>0</v>
      </c>
      <c r="K158">
        <v>3652</v>
      </c>
      <c r="L158">
        <v>1</v>
      </c>
      <c r="M158">
        <v>4.7</v>
      </c>
      <c r="N158" t="s">
        <v>18</v>
      </c>
      <c r="O158" t="s">
        <v>19</v>
      </c>
    </row>
    <row r="159" spans="1:15">
      <c r="A159" t="s">
        <v>182</v>
      </c>
      <c r="B159" t="s">
        <v>66</v>
      </c>
      <c r="C159">
        <v>16</v>
      </c>
      <c r="D159">
        <v>-16</v>
      </c>
      <c r="E159">
        <v>9</v>
      </c>
      <c r="F159">
        <v>1778</v>
      </c>
      <c r="G159">
        <v>33</v>
      </c>
      <c r="H159">
        <v>4</v>
      </c>
      <c r="I159">
        <v>74</v>
      </c>
      <c r="J159">
        <v>0</v>
      </c>
      <c r="K159">
        <v>6518</v>
      </c>
      <c r="L159">
        <v>0.48</v>
      </c>
      <c r="M159">
        <v>9.8000000000000007</v>
      </c>
      <c r="N159" t="s">
        <v>66</v>
      </c>
      <c r="O159" t="s">
        <v>16</v>
      </c>
    </row>
    <row r="160" spans="1:15">
      <c r="A160" t="s">
        <v>183</v>
      </c>
      <c r="B160" t="s">
        <v>18</v>
      </c>
      <c r="C160">
        <v>13</v>
      </c>
      <c r="D160">
        <v>-13</v>
      </c>
      <c r="E160">
        <v>1</v>
      </c>
      <c r="F160">
        <v>13000</v>
      </c>
      <c r="G160">
        <v>-10</v>
      </c>
      <c r="H160">
        <v>-29</v>
      </c>
      <c r="I160">
        <v>-28</v>
      </c>
      <c r="J160">
        <v>0</v>
      </c>
      <c r="K160">
        <v>3565</v>
      </c>
      <c r="L160">
        <v>0.76</v>
      </c>
      <c r="M160">
        <v>4.4000000000000004</v>
      </c>
      <c r="N160" t="s">
        <v>18</v>
      </c>
      <c r="O160" t="s">
        <v>19</v>
      </c>
    </row>
    <row r="161" spans="1:15">
      <c r="A161" t="s">
        <v>184</v>
      </c>
      <c r="B161" t="s">
        <v>44</v>
      </c>
      <c r="C161">
        <v>13</v>
      </c>
      <c r="D161">
        <v>-13</v>
      </c>
      <c r="E161">
        <v>1</v>
      </c>
      <c r="F161">
        <v>13000</v>
      </c>
      <c r="G161">
        <v>16</v>
      </c>
      <c r="H161">
        <v>0</v>
      </c>
      <c r="I161">
        <v>1</v>
      </c>
      <c r="J161">
        <v>0</v>
      </c>
      <c r="K161">
        <v>4681</v>
      </c>
      <c r="L161">
        <v>0.44</v>
      </c>
      <c r="M161">
        <v>14.6</v>
      </c>
      <c r="N161" t="s">
        <v>44</v>
      </c>
      <c r="O161" t="s">
        <v>16</v>
      </c>
    </row>
    <row r="162" spans="1:15">
      <c r="A162" t="s">
        <v>185</v>
      </c>
      <c r="B162" t="s">
        <v>66</v>
      </c>
      <c r="C162">
        <v>12</v>
      </c>
      <c r="D162">
        <v>-12</v>
      </c>
      <c r="E162">
        <v>11</v>
      </c>
      <c r="F162">
        <v>1091</v>
      </c>
      <c r="G162">
        <v>11</v>
      </c>
      <c r="H162">
        <v>18</v>
      </c>
      <c r="I162">
        <v>37</v>
      </c>
      <c r="J162">
        <v>0</v>
      </c>
      <c r="K162">
        <v>3093</v>
      </c>
      <c r="L162">
        <v>0.71</v>
      </c>
      <c r="M162">
        <v>0</v>
      </c>
      <c r="N162" t="s">
        <v>66</v>
      </c>
      <c r="O162" t="s">
        <v>19</v>
      </c>
    </row>
    <row r="163" spans="1:15">
      <c r="A163" t="s">
        <v>186</v>
      </c>
      <c r="B163" t="s">
        <v>18</v>
      </c>
      <c r="C163">
        <v>8</v>
      </c>
      <c r="D163">
        <v>-8</v>
      </c>
      <c r="E163">
        <v>2</v>
      </c>
      <c r="F163">
        <v>4000</v>
      </c>
      <c r="G163">
        <v>-30</v>
      </c>
      <c r="H163">
        <v>4</v>
      </c>
      <c r="I163">
        <v>55</v>
      </c>
      <c r="J163">
        <v>0</v>
      </c>
      <c r="K163">
        <v>7491</v>
      </c>
      <c r="L163">
        <v>1</v>
      </c>
      <c r="M163">
        <v>3.5</v>
      </c>
      <c r="N163" t="s">
        <v>18</v>
      </c>
      <c r="O163" t="s">
        <v>19</v>
      </c>
    </row>
    <row r="164" spans="1:15">
      <c r="A164" t="s">
        <v>187</v>
      </c>
      <c r="B164" t="s">
        <v>66</v>
      </c>
      <c r="C164">
        <v>8</v>
      </c>
      <c r="D164">
        <v>-8</v>
      </c>
      <c r="E164">
        <v>3</v>
      </c>
      <c r="F164">
        <v>2667</v>
      </c>
      <c r="G164">
        <v>9</v>
      </c>
      <c r="H164">
        <v>4</v>
      </c>
      <c r="I164">
        <v>-53</v>
      </c>
      <c r="J164">
        <v>0</v>
      </c>
      <c r="K164">
        <v>5555</v>
      </c>
      <c r="L164">
        <v>0.53</v>
      </c>
      <c r="M164">
        <v>9.8000000000000007</v>
      </c>
      <c r="N164" t="s">
        <v>66</v>
      </c>
      <c r="O164" t="s">
        <v>19</v>
      </c>
    </row>
    <row r="165" spans="1:15">
      <c r="A165" t="s">
        <v>188</v>
      </c>
      <c r="B165" t="s">
        <v>66</v>
      </c>
      <c r="C165">
        <v>6</v>
      </c>
      <c r="D165">
        <v>-6</v>
      </c>
      <c r="E165">
        <v>2</v>
      </c>
      <c r="F165">
        <v>3000</v>
      </c>
      <c r="G165">
        <v>-45</v>
      </c>
      <c r="H165">
        <v>4</v>
      </c>
      <c r="I165">
        <v>-90</v>
      </c>
      <c r="J165">
        <v>0</v>
      </c>
      <c r="K165">
        <v>4588</v>
      </c>
      <c r="L165">
        <v>1</v>
      </c>
      <c r="M165">
        <v>9.8000000000000007</v>
      </c>
      <c r="N165" t="s">
        <v>66</v>
      </c>
      <c r="O165" t="s">
        <v>19</v>
      </c>
    </row>
    <row r="166" spans="1:15">
      <c r="A166" t="s">
        <v>189</v>
      </c>
      <c r="B166" t="s">
        <v>15</v>
      </c>
      <c r="C166">
        <v>6</v>
      </c>
      <c r="D166">
        <v>-6</v>
      </c>
      <c r="E166">
        <v>1</v>
      </c>
      <c r="F166">
        <v>6000</v>
      </c>
      <c r="G166">
        <v>2</v>
      </c>
      <c r="H166">
        <v>0</v>
      </c>
      <c r="I166">
        <v>98</v>
      </c>
      <c r="J166">
        <v>0</v>
      </c>
      <c r="K166">
        <v>373</v>
      </c>
      <c r="L166">
        <v>0.56000000000000005</v>
      </c>
      <c r="M166">
        <v>1.8</v>
      </c>
      <c r="N166" t="s">
        <v>15</v>
      </c>
      <c r="O166" t="s">
        <v>19</v>
      </c>
    </row>
    <row r="167" spans="1:15">
      <c r="A167" t="s">
        <v>190</v>
      </c>
      <c r="B167" t="s">
        <v>25</v>
      </c>
      <c r="C167">
        <v>5</v>
      </c>
      <c r="D167">
        <v>-5</v>
      </c>
      <c r="E167">
        <v>2</v>
      </c>
      <c r="F167">
        <v>2500</v>
      </c>
      <c r="G167">
        <v>-12</v>
      </c>
      <c r="H167">
        <v>7</v>
      </c>
      <c r="I167">
        <v>-6</v>
      </c>
      <c r="J167">
        <v>0</v>
      </c>
      <c r="K167">
        <v>1119</v>
      </c>
      <c r="L167">
        <v>0.56000000000000005</v>
      </c>
      <c r="M167">
        <v>0</v>
      </c>
      <c r="N167" t="s">
        <v>25</v>
      </c>
      <c r="O167" t="s">
        <v>19</v>
      </c>
    </row>
    <row r="168" spans="1:15">
      <c r="A168" t="s">
        <v>191</v>
      </c>
      <c r="B168" t="s">
        <v>66</v>
      </c>
      <c r="C168">
        <v>5</v>
      </c>
      <c r="D168">
        <v>-5</v>
      </c>
      <c r="E168">
        <v>39</v>
      </c>
      <c r="F168">
        <v>128</v>
      </c>
      <c r="G168">
        <v>116</v>
      </c>
      <c r="H168">
        <v>4</v>
      </c>
      <c r="I168">
        <v>-34</v>
      </c>
      <c r="J168">
        <v>0</v>
      </c>
      <c r="K168">
        <v>4279</v>
      </c>
      <c r="L168">
        <v>1</v>
      </c>
      <c r="M168">
        <v>5</v>
      </c>
      <c r="N168" t="s">
        <v>66</v>
      </c>
      <c r="O168" t="s">
        <v>19</v>
      </c>
    </row>
    <row r="169" spans="1:15">
      <c r="A169" t="s">
        <v>192</v>
      </c>
      <c r="B169" t="s">
        <v>58</v>
      </c>
      <c r="C169">
        <v>5</v>
      </c>
      <c r="D169">
        <v>-5</v>
      </c>
      <c r="E169">
        <v>2</v>
      </c>
      <c r="F169">
        <v>2500</v>
      </c>
      <c r="G169">
        <v>45</v>
      </c>
      <c r="H169">
        <v>4</v>
      </c>
      <c r="I169">
        <v>-36</v>
      </c>
      <c r="J169">
        <v>0</v>
      </c>
      <c r="K169">
        <v>8091</v>
      </c>
      <c r="L169">
        <v>0.52</v>
      </c>
      <c r="M169">
        <v>0</v>
      </c>
      <c r="N169" t="s">
        <v>58</v>
      </c>
      <c r="O169" t="s">
        <v>19</v>
      </c>
    </row>
    <row r="170" spans="1:15">
      <c r="A170" t="s">
        <v>193</v>
      </c>
      <c r="B170" t="s">
        <v>18</v>
      </c>
      <c r="C170">
        <v>5</v>
      </c>
      <c r="D170">
        <v>-5</v>
      </c>
      <c r="E170">
        <v>11</v>
      </c>
      <c r="F170">
        <v>455</v>
      </c>
      <c r="G170">
        <v>-27</v>
      </c>
      <c r="H170">
        <v>-3</v>
      </c>
      <c r="I170">
        <v>-28</v>
      </c>
      <c r="J170">
        <v>0</v>
      </c>
      <c r="K170">
        <v>2813</v>
      </c>
      <c r="L170">
        <v>1</v>
      </c>
      <c r="M170">
        <v>1.8</v>
      </c>
      <c r="N170" t="s">
        <v>18</v>
      </c>
      <c r="O170" t="s">
        <v>19</v>
      </c>
    </row>
    <row r="171" spans="1:15">
      <c r="A171" t="s">
        <v>194</v>
      </c>
      <c r="B171" t="s">
        <v>66</v>
      </c>
      <c r="C171">
        <v>5</v>
      </c>
      <c r="D171">
        <v>-5</v>
      </c>
      <c r="E171">
        <v>3</v>
      </c>
      <c r="F171">
        <v>1667</v>
      </c>
      <c r="G171">
        <v>6</v>
      </c>
      <c r="H171">
        <v>1</v>
      </c>
      <c r="I171">
        <v>132</v>
      </c>
      <c r="J171">
        <v>0</v>
      </c>
      <c r="K171">
        <v>4615</v>
      </c>
      <c r="L171">
        <v>1</v>
      </c>
      <c r="M171">
        <v>5</v>
      </c>
      <c r="N171" t="s">
        <v>66</v>
      </c>
      <c r="O17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2FCB8-FF94-401A-89BD-D9FCA94D223E}">
  <dimension ref="A2:K175"/>
  <sheetViews>
    <sheetView topLeftCell="A55" zoomScale="66" zoomScaleNormal="85" workbookViewId="0">
      <selection activeCell="E70" sqref="E70"/>
    </sheetView>
  </sheetViews>
  <sheetFormatPr defaultRowHeight="14.4"/>
  <cols>
    <col min="1" max="1" width="38" bestFit="1" customWidth="1"/>
    <col min="2" max="2" width="41.6640625" bestFit="1" customWidth="1"/>
    <col min="8" max="8" width="38" bestFit="1" customWidth="1"/>
    <col min="9" max="9" width="48.5546875" bestFit="1" customWidth="1"/>
    <col min="10" max="10" width="41.6640625" bestFit="1" customWidth="1"/>
    <col min="11" max="11" width="10.88671875" bestFit="1" customWidth="1"/>
  </cols>
  <sheetData>
    <row r="2" spans="1:9">
      <c r="A2">
        <v>1</v>
      </c>
      <c r="H2">
        <v>2.1</v>
      </c>
    </row>
    <row r="3" spans="1:9">
      <c r="A3" s="3" t="s">
        <v>195</v>
      </c>
      <c r="B3" t="s">
        <v>197</v>
      </c>
      <c r="H3" s="3" t="s">
        <v>195</v>
      </c>
      <c r="I3" t="s">
        <v>197</v>
      </c>
    </row>
    <row r="4" spans="1:9">
      <c r="A4" s="1" t="s">
        <v>148</v>
      </c>
      <c r="B4">
        <v>178</v>
      </c>
      <c r="H4" s="1" t="s">
        <v>14</v>
      </c>
      <c r="I4">
        <v>91361</v>
      </c>
    </row>
    <row r="5" spans="1:9">
      <c r="A5" s="1" t="s">
        <v>158</v>
      </c>
      <c r="B5">
        <v>114</v>
      </c>
      <c r="H5" s="1" t="s">
        <v>17</v>
      </c>
      <c r="I5">
        <v>54248</v>
      </c>
    </row>
    <row r="6" spans="1:9">
      <c r="A6" s="1" t="s">
        <v>93</v>
      </c>
      <c r="B6">
        <v>1964</v>
      </c>
      <c r="H6" s="1" t="s">
        <v>20</v>
      </c>
      <c r="I6">
        <v>50769</v>
      </c>
    </row>
    <row r="7" spans="1:9">
      <c r="A7" s="1" t="s">
        <v>189</v>
      </c>
      <c r="B7">
        <v>6</v>
      </c>
      <c r="H7" s="1" t="s">
        <v>21</v>
      </c>
      <c r="I7">
        <v>41958</v>
      </c>
    </row>
    <row r="8" spans="1:9">
      <c r="A8" s="1" t="s">
        <v>127</v>
      </c>
      <c r="B8">
        <v>424</v>
      </c>
      <c r="H8" s="1" t="s">
        <v>22</v>
      </c>
      <c r="I8">
        <v>38792</v>
      </c>
    </row>
    <row r="9" spans="1:9">
      <c r="A9" s="1" t="s">
        <v>181</v>
      </c>
      <c r="B9">
        <v>16</v>
      </c>
      <c r="H9" s="1" t="s">
        <v>24</v>
      </c>
      <c r="I9">
        <v>34586</v>
      </c>
    </row>
    <row r="10" spans="1:9">
      <c r="A10" s="1" t="s">
        <v>42</v>
      </c>
      <c r="B10">
        <v>17123</v>
      </c>
      <c r="H10" s="1" t="s">
        <v>26</v>
      </c>
      <c r="I10">
        <v>33727</v>
      </c>
    </row>
    <row r="11" spans="1:9">
      <c r="A11" s="1" t="s">
        <v>142</v>
      </c>
      <c r="B11">
        <v>221</v>
      </c>
      <c r="H11" s="1" t="s">
        <v>28</v>
      </c>
      <c r="I11">
        <v>33184</v>
      </c>
    </row>
    <row r="12" spans="1:9">
      <c r="A12" s="1" t="s">
        <v>167</v>
      </c>
      <c r="B12">
        <v>55</v>
      </c>
      <c r="H12" s="1" t="s">
        <v>29</v>
      </c>
      <c r="I12">
        <v>27445</v>
      </c>
    </row>
    <row r="13" spans="1:9">
      <c r="A13" s="1" t="s">
        <v>57</v>
      </c>
      <c r="B13">
        <v>8648</v>
      </c>
      <c r="H13" s="1" t="s">
        <v>30</v>
      </c>
      <c r="I13">
        <v>26701</v>
      </c>
    </row>
    <row r="14" spans="1:9">
      <c r="A14" s="1" t="s">
        <v>30</v>
      </c>
      <c r="B14">
        <v>26701</v>
      </c>
      <c r="H14" s="1" t="s">
        <v>196</v>
      </c>
      <c r="I14">
        <v>432771</v>
      </c>
    </row>
    <row r="15" spans="1:9">
      <c r="A15" s="1" t="s">
        <v>106</v>
      </c>
      <c r="B15">
        <v>1126</v>
      </c>
      <c r="I15">
        <f>GETPIVOTDATA("Value imported in 2024 (USD thousand)",$H$3)</f>
        <v>432771</v>
      </c>
    </row>
    <row r="16" spans="1:9">
      <c r="A16" s="1" t="s">
        <v>170</v>
      </c>
      <c r="B16">
        <v>42</v>
      </c>
    </row>
    <row r="17" spans="1:9">
      <c r="A17" s="1" t="s">
        <v>108</v>
      </c>
      <c r="B17">
        <v>1065</v>
      </c>
    </row>
    <row r="18" spans="1:9">
      <c r="A18" s="1" t="s">
        <v>138</v>
      </c>
      <c r="B18">
        <v>248</v>
      </c>
      <c r="H18">
        <v>2.2000000000000002</v>
      </c>
    </row>
    <row r="19" spans="1:9">
      <c r="A19" s="1" t="s">
        <v>147</v>
      </c>
      <c r="B19">
        <v>182</v>
      </c>
      <c r="H19" s="3" t="s">
        <v>195</v>
      </c>
      <c r="I19" t="s">
        <v>199</v>
      </c>
    </row>
    <row r="20" spans="1:9">
      <c r="A20" s="1" t="s">
        <v>95</v>
      </c>
      <c r="B20">
        <v>1791</v>
      </c>
      <c r="H20" s="1" t="s">
        <v>163</v>
      </c>
      <c r="I20">
        <v>156</v>
      </c>
    </row>
    <row r="21" spans="1:9">
      <c r="A21" s="1" t="s">
        <v>29</v>
      </c>
      <c r="B21">
        <v>27445</v>
      </c>
      <c r="H21" s="1" t="s">
        <v>191</v>
      </c>
      <c r="I21">
        <v>116</v>
      </c>
    </row>
    <row r="22" spans="1:9">
      <c r="A22" s="1" t="s">
        <v>166</v>
      </c>
      <c r="B22">
        <v>57</v>
      </c>
      <c r="H22" s="1" t="s">
        <v>105</v>
      </c>
      <c r="I22">
        <v>56</v>
      </c>
    </row>
    <row r="23" spans="1:9">
      <c r="A23" s="1" t="s">
        <v>163</v>
      </c>
      <c r="B23">
        <v>63</v>
      </c>
      <c r="H23" s="1" t="s">
        <v>109</v>
      </c>
      <c r="I23">
        <v>55</v>
      </c>
    </row>
    <row r="24" spans="1:9">
      <c r="A24" s="1" t="s">
        <v>173</v>
      </c>
      <c r="B24">
        <v>35</v>
      </c>
      <c r="H24" s="1" t="s">
        <v>120</v>
      </c>
      <c r="I24">
        <v>55</v>
      </c>
    </row>
    <row r="25" spans="1:9">
      <c r="A25" s="1" t="s">
        <v>180</v>
      </c>
      <c r="B25">
        <v>17</v>
      </c>
      <c r="H25" s="1" t="s">
        <v>133</v>
      </c>
      <c r="I25">
        <v>46</v>
      </c>
    </row>
    <row r="26" spans="1:9">
      <c r="A26" s="1" t="s">
        <v>114</v>
      </c>
      <c r="B26">
        <v>880</v>
      </c>
      <c r="H26" s="1" t="s">
        <v>79</v>
      </c>
      <c r="I26">
        <v>45</v>
      </c>
    </row>
    <row r="27" spans="1:9">
      <c r="A27" s="1" t="s">
        <v>141</v>
      </c>
      <c r="B27">
        <v>222</v>
      </c>
      <c r="H27" s="1" t="s">
        <v>192</v>
      </c>
      <c r="I27">
        <v>45</v>
      </c>
    </row>
    <row r="28" spans="1:9">
      <c r="A28" s="1" t="s">
        <v>165</v>
      </c>
      <c r="B28">
        <v>61</v>
      </c>
      <c r="H28" s="1" t="s">
        <v>164</v>
      </c>
      <c r="I28">
        <v>45</v>
      </c>
    </row>
    <row r="29" spans="1:9">
      <c r="A29" s="1" t="s">
        <v>111</v>
      </c>
      <c r="B29">
        <v>916</v>
      </c>
      <c r="H29" s="1" t="s">
        <v>28</v>
      </c>
      <c r="I29">
        <v>43</v>
      </c>
    </row>
    <row r="30" spans="1:9">
      <c r="A30" s="1" t="s">
        <v>190</v>
      </c>
      <c r="B30">
        <v>5</v>
      </c>
      <c r="H30" s="1" t="s">
        <v>178</v>
      </c>
      <c r="I30">
        <v>43</v>
      </c>
    </row>
    <row r="31" spans="1:9">
      <c r="A31" s="1" t="s">
        <v>113</v>
      </c>
      <c r="B31">
        <v>881</v>
      </c>
      <c r="H31" s="1" t="s">
        <v>196</v>
      </c>
      <c r="I31">
        <v>705</v>
      </c>
    </row>
    <row r="32" spans="1:9">
      <c r="A32" s="1" t="s">
        <v>97</v>
      </c>
      <c r="B32">
        <v>1697</v>
      </c>
    </row>
    <row r="33" spans="1:9">
      <c r="A33" s="1" t="s">
        <v>172</v>
      </c>
      <c r="B33">
        <v>36</v>
      </c>
    </row>
    <row r="34" spans="1:9">
      <c r="A34" s="1" t="s">
        <v>185</v>
      </c>
      <c r="B34">
        <v>12</v>
      </c>
      <c r="H34">
        <v>3.1</v>
      </c>
    </row>
    <row r="35" spans="1:9">
      <c r="A35" s="1" t="s">
        <v>79</v>
      </c>
      <c r="B35">
        <v>3056</v>
      </c>
      <c r="H35" s="3" t="s">
        <v>195</v>
      </c>
      <c r="I35" s="20" t="s">
        <v>232</v>
      </c>
    </row>
    <row r="36" spans="1:9">
      <c r="A36" s="1" t="s">
        <v>188</v>
      </c>
      <c r="B36">
        <v>6</v>
      </c>
      <c r="H36" s="1" t="s">
        <v>58</v>
      </c>
      <c r="I36" s="20">
        <v>21.666666666666668</v>
      </c>
    </row>
    <row r="37" spans="1:9">
      <c r="A37" s="1" t="s">
        <v>51</v>
      </c>
      <c r="B37">
        <v>11868</v>
      </c>
      <c r="H37" s="1" t="s">
        <v>38</v>
      </c>
      <c r="I37" s="20">
        <v>14.416666666666666</v>
      </c>
    </row>
    <row r="38" spans="1:9">
      <c r="A38" s="1" t="s">
        <v>37</v>
      </c>
      <c r="B38">
        <v>21184</v>
      </c>
      <c r="H38" s="1" t="s">
        <v>66</v>
      </c>
      <c r="I38" s="20">
        <v>13.953488372093023</v>
      </c>
    </row>
    <row r="39" spans="1:9">
      <c r="A39" s="1" t="s">
        <v>45</v>
      </c>
      <c r="B39">
        <v>15912</v>
      </c>
      <c r="H39" s="1" t="s">
        <v>44</v>
      </c>
      <c r="I39" s="20">
        <v>10.692307692307692</v>
      </c>
    </row>
    <row r="40" spans="1:9">
      <c r="A40" s="1" t="s">
        <v>50</v>
      </c>
      <c r="B40">
        <v>12760</v>
      </c>
      <c r="H40" s="1" t="s">
        <v>25</v>
      </c>
      <c r="I40" s="20">
        <v>9.4</v>
      </c>
    </row>
    <row r="41" spans="1:9">
      <c r="A41" s="1" t="s">
        <v>161</v>
      </c>
      <c r="B41">
        <v>86</v>
      </c>
      <c r="H41" s="1" t="s">
        <v>15</v>
      </c>
      <c r="I41" s="20">
        <v>8.6428571428571423</v>
      </c>
    </row>
    <row r="42" spans="1:9">
      <c r="A42" s="1" t="s">
        <v>87</v>
      </c>
      <c r="B42">
        <v>2221</v>
      </c>
      <c r="H42" s="1" t="s">
        <v>23</v>
      </c>
      <c r="I42" s="20">
        <v>7.6</v>
      </c>
    </row>
    <row r="43" spans="1:9">
      <c r="A43" s="1" t="s">
        <v>101</v>
      </c>
      <c r="B43">
        <v>1550</v>
      </c>
      <c r="H43" s="1" t="s">
        <v>18</v>
      </c>
      <c r="I43" s="20">
        <v>4.3181818181818183</v>
      </c>
    </row>
    <row r="44" spans="1:9">
      <c r="A44" s="1" t="s">
        <v>121</v>
      </c>
      <c r="B44">
        <v>613</v>
      </c>
      <c r="H44" s="1" t="s">
        <v>27</v>
      </c>
      <c r="I44" s="20">
        <v>2.7142857142857144</v>
      </c>
    </row>
    <row r="45" spans="1:9">
      <c r="A45" s="1" t="s">
        <v>116</v>
      </c>
      <c r="B45">
        <v>787</v>
      </c>
      <c r="H45" s="1" t="s">
        <v>196</v>
      </c>
      <c r="I45" s="20">
        <v>10.158823529411764</v>
      </c>
    </row>
    <row r="46" spans="1:9">
      <c r="A46" s="1" t="s">
        <v>162</v>
      </c>
      <c r="B46">
        <v>79</v>
      </c>
    </row>
    <row r="47" spans="1:9">
      <c r="A47" s="1" t="s">
        <v>193</v>
      </c>
      <c r="B47">
        <v>5</v>
      </c>
    </row>
    <row r="48" spans="1:9">
      <c r="A48" s="1" t="s">
        <v>144</v>
      </c>
      <c r="B48">
        <v>205</v>
      </c>
      <c r="H48">
        <v>3.2</v>
      </c>
    </row>
    <row r="49" spans="1:10">
      <c r="A49" s="1" t="s">
        <v>40</v>
      </c>
      <c r="B49">
        <v>19180</v>
      </c>
      <c r="H49" s="3" t="s">
        <v>195</v>
      </c>
      <c r="I49" s="20" t="s">
        <v>233</v>
      </c>
    </row>
    <row r="50" spans="1:10">
      <c r="A50" s="1" t="s">
        <v>81</v>
      </c>
      <c r="B50">
        <v>2836</v>
      </c>
      <c r="H50" s="1" t="s">
        <v>66</v>
      </c>
      <c r="I50" s="20">
        <v>1076.7674418604652</v>
      </c>
    </row>
    <row r="51" spans="1:10">
      <c r="A51" s="1" t="s">
        <v>160</v>
      </c>
      <c r="B51">
        <v>96</v>
      </c>
      <c r="H51" s="1" t="s">
        <v>27</v>
      </c>
      <c r="I51" s="20">
        <v>8921</v>
      </c>
    </row>
    <row r="52" spans="1:10">
      <c r="A52" s="1" t="s">
        <v>99</v>
      </c>
      <c r="B52">
        <v>1630</v>
      </c>
      <c r="H52" s="1" t="s">
        <v>15</v>
      </c>
      <c r="I52" s="20">
        <v>11608.738095238095</v>
      </c>
    </row>
    <row r="53" spans="1:10">
      <c r="A53" s="1" t="s">
        <v>54</v>
      </c>
      <c r="B53">
        <v>9890</v>
      </c>
      <c r="H53" s="1" t="s">
        <v>23</v>
      </c>
      <c r="I53" s="20">
        <v>4892.3999999999996</v>
      </c>
    </row>
    <row r="54" spans="1:10">
      <c r="A54" s="1" t="s">
        <v>73</v>
      </c>
      <c r="B54">
        <v>3949</v>
      </c>
      <c r="H54" s="1" t="s">
        <v>18</v>
      </c>
      <c r="I54" s="20">
        <v>4726.363636363636</v>
      </c>
    </row>
    <row r="55" spans="1:10">
      <c r="A55" s="1" t="s">
        <v>83</v>
      </c>
      <c r="B55">
        <v>2752</v>
      </c>
      <c r="H55" s="1" t="s">
        <v>58</v>
      </c>
      <c r="I55" s="20">
        <v>2231.8333333333335</v>
      </c>
    </row>
    <row r="56" spans="1:10">
      <c r="A56" s="1" t="s">
        <v>187</v>
      </c>
      <c r="B56">
        <v>8</v>
      </c>
      <c r="H56" s="1" t="s">
        <v>38</v>
      </c>
      <c r="I56" s="20">
        <v>6929.333333333333</v>
      </c>
    </row>
    <row r="57" spans="1:10">
      <c r="A57" s="1" t="s">
        <v>61</v>
      </c>
      <c r="B57">
        <v>7283</v>
      </c>
      <c r="H57" s="1" t="s">
        <v>44</v>
      </c>
      <c r="I57" s="20">
        <v>2951.1538461538462</v>
      </c>
    </row>
    <row r="58" spans="1:10">
      <c r="A58" s="1" t="s">
        <v>125</v>
      </c>
      <c r="B58">
        <v>528</v>
      </c>
      <c r="H58" s="1" t="s">
        <v>25</v>
      </c>
      <c r="I58" s="20">
        <v>11092.6</v>
      </c>
    </row>
    <row r="59" spans="1:10">
      <c r="A59" s="1" t="s">
        <v>155</v>
      </c>
      <c r="B59">
        <v>123</v>
      </c>
      <c r="H59" s="1" t="s">
        <v>196</v>
      </c>
      <c r="I59" s="20">
        <v>5997.1470588235297</v>
      </c>
    </row>
    <row r="60" spans="1:10">
      <c r="A60" s="1" t="s">
        <v>153</v>
      </c>
      <c r="B60">
        <v>152</v>
      </c>
      <c r="I60" s="20">
        <f>GETPIVOTDATA("Value imported in 2024 (USD thousand)",$H$49)</f>
        <v>5997.1470588235297</v>
      </c>
    </row>
    <row r="61" spans="1:10">
      <c r="A61" s="1" t="s">
        <v>72</v>
      </c>
      <c r="B61">
        <v>4420</v>
      </c>
    </row>
    <row r="62" spans="1:10">
      <c r="A62" s="1" t="s">
        <v>21</v>
      </c>
      <c r="B62">
        <v>41958</v>
      </c>
    </row>
    <row r="63" spans="1:10">
      <c r="A63" s="1" t="s">
        <v>177</v>
      </c>
      <c r="B63">
        <v>28</v>
      </c>
      <c r="H63">
        <v>3.3</v>
      </c>
    </row>
    <row r="64" spans="1:10">
      <c r="A64" s="1" t="s">
        <v>182</v>
      </c>
      <c r="B64">
        <v>16</v>
      </c>
      <c r="H64" s="3" t="s">
        <v>195</v>
      </c>
      <c r="I64" t="s">
        <v>232</v>
      </c>
      <c r="J64" t="s">
        <v>197</v>
      </c>
    </row>
    <row r="65" spans="1:10">
      <c r="A65" s="1" t="s">
        <v>136</v>
      </c>
      <c r="B65">
        <v>288</v>
      </c>
      <c r="H65" s="1" t="s">
        <v>15</v>
      </c>
      <c r="I65" s="20">
        <v>8.6428571428571423</v>
      </c>
      <c r="J65" s="20">
        <v>487567</v>
      </c>
    </row>
    <row r="66" spans="1:10">
      <c r="A66" s="1" t="s">
        <v>14</v>
      </c>
      <c r="B66">
        <v>91361</v>
      </c>
      <c r="H66" s="1" t="s">
        <v>25</v>
      </c>
      <c r="I66" s="20">
        <v>9.4</v>
      </c>
      <c r="J66" s="20">
        <v>110926</v>
      </c>
    </row>
    <row r="67" spans="1:10">
      <c r="A67" s="1" t="s">
        <v>70</v>
      </c>
      <c r="B67">
        <v>4626</v>
      </c>
      <c r="H67" s="1" t="s">
        <v>18</v>
      </c>
      <c r="I67" s="20">
        <v>4.3181818181818183</v>
      </c>
      <c r="J67" s="20">
        <v>103980</v>
      </c>
    </row>
    <row r="68" spans="1:10">
      <c r="A68" s="1" t="s">
        <v>89</v>
      </c>
      <c r="B68">
        <v>2181</v>
      </c>
      <c r="H68" s="1" t="s">
        <v>38</v>
      </c>
      <c r="I68" s="20">
        <v>14.416666666666666</v>
      </c>
      <c r="J68" s="20">
        <v>83152</v>
      </c>
    </row>
    <row r="69" spans="1:10">
      <c r="A69" s="1" t="s">
        <v>183</v>
      </c>
      <c r="B69">
        <v>13</v>
      </c>
      <c r="H69" s="1" t="s">
        <v>23</v>
      </c>
      <c r="I69" s="20">
        <v>7.6</v>
      </c>
      <c r="J69" s="20">
        <v>73386</v>
      </c>
    </row>
    <row r="70" spans="1:10">
      <c r="A70" s="1" t="s">
        <v>71</v>
      </c>
      <c r="B70">
        <v>4559</v>
      </c>
      <c r="H70" s="1" t="s">
        <v>27</v>
      </c>
      <c r="I70" s="20">
        <v>2.7142857142857144</v>
      </c>
      <c r="J70" s="20">
        <v>62447</v>
      </c>
    </row>
    <row r="71" spans="1:10">
      <c r="A71" s="1" t="s">
        <v>80</v>
      </c>
      <c r="B71">
        <v>2879</v>
      </c>
      <c r="H71" s="1" t="s">
        <v>66</v>
      </c>
      <c r="I71" s="20">
        <v>13.953488372093023</v>
      </c>
      <c r="J71" s="20">
        <v>46301</v>
      </c>
    </row>
    <row r="72" spans="1:10">
      <c r="A72" s="1" t="s">
        <v>164</v>
      </c>
      <c r="B72">
        <v>61</v>
      </c>
      <c r="H72" s="1" t="s">
        <v>44</v>
      </c>
      <c r="I72" s="20">
        <v>10.692307692307692</v>
      </c>
      <c r="J72" s="20">
        <v>38365</v>
      </c>
    </row>
    <row r="73" spans="1:10">
      <c r="A73" s="1" t="s">
        <v>186</v>
      </c>
      <c r="B73">
        <v>8</v>
      </c>
      <c r="H73" s="1" t="s">
        <v>58</v>
      </c>
      <c r="I73" s="20">
        <v>21.666666666666668</v>
      </c>
      <c r="J73" s="20">
        <v>13391</v>
      </c>
    </row>
    <row r="74" spans="1:10">
      <c r="A74" s="1" t="s">
        <v>134</v>
      </c>
      <c r="B74">
        <v>338</v>
      </c>
      <c r="H74" s="1" t="s">
        <v>196</v>
      </c>
      <c r="I74" s="20">
        <v>10.158823529411764</v>
      </c>
      <c r="J74" s="20">
        <v>1019515</v>
      </c>
    </row>
    <row r="75" spans="1:10">
      <c r="A75" s="1" t="s">
        <v>122</v>
      </c>
      <c r="B75">
        <v>572</v>
      </c>
    </row>
    <row r="76" spans="1:10">
      <c r="A76" s="1" t="s">
        <v>62</v>
      </c>
      <c r="B76">
        <v>6809</v>
      </c>
    </row>
    <row r="77" spans="1:10">
      <c r="A77" s="1" t="s">
        <v>140</v>
      </c>
      <c r="B77">
        <v>225</v>
      </c>
      <c r="H77">
        <v>4.0999999999999996</v>
      </c>
    </row>
    <row r="78" spans="1:10">
      <c r="A78" s="1" t="s">
        <v>43</v>
      </c>
      <c r="B78">
        <v>16016</v>
      </c>
      <c r="H78" s="3" t="s">
        <v>195</v>
      </c>
      <c r="I78" s="20" t="s">
        <v>234</v>
      </c>
    </row>
    <row r="79" spans="1:10">
      <c r="A79" s="1" t="s">
        <v>34</v>
      </c>
      <c r="B79">
        <v>22859</v>
      </c>
      <c r="H79" s="1" t="s">
        <v>18</v>
      </c>
      <c r="I79" s="20">
        <v>0.64136363636363647</v>
      </c>
    </row>
    <row r="80" spans="1:10">
      <c r="A80" s="1" t="s">
        <v>103</v>
      </c>
      <c r="B80">
        <v>1463</v>
      </c>
      <c r="H80" s="1" t="s">
        <v>44</v>
      </c>
      <c r="I80" s="20">
        <v>0.53384615384615397</v>
      </c>
    </row>
    <row r="81" spans="1:11">
      <c r="A81" s="1" t="s">
        <v>117</v>
      </c>
      <c r="B81">
        <v>724</v>
      </c>
      <c r="H81" s="1" t="s">
        <v>38</v>
      </c>
      <c r="I81" s="20">
        <v>0.50749999999999995</v>
      </c>
    </row>
    <row r="82" spans="1:11">
      <c r="A82" s="1" t="s">
        <v>32</v>
      </c>
      <c r="B82">
        <v>24830</v>
      </c>
      <c r="H82" s="1" t="s">
        <v>27</v>
      </c>
      <c r="I82" s="20">
        <v>0.5</v>
      </c>
    </row>
    <row r="83" spans="1:11">
      <c r="A83" s="1" t="s">
        <v>22</v>
      </c>
      <c r="B83">
        <v>38792</v>
      </c>
      <c r="H83" s="1" t="s">
        <v>66</v>
      </c>
      <c r="I83" s="20">
        <v>0.49441860465116283</v>
      </c>
    </row>
    <row r="84" spans="1:11">
      <c r="A84" s="1" t="s">
        <v>20</v>
      </c>
      <c r="B84">
        <v>50769</v>
      </c>
      <c r="H84" s="1" t="s">
        <v>58</v>
      </c>
      <c r="I84" s="20">
        <v>0.46166666666666667</v>
      </c>
    </row>
    <row r="85" spans="1:11">
      <c r="A85" s="1" t="s">
        <v>137</v>
      </c>
      <c r="B85">
        <v>276</v>
      </c>
      <c r="H85" s="1" t="s">
        <v>25</v>
      </c>
      <c r="I85" s="20">
        <v>0.43499999999999994</v>
      </c>
    </row>
    <row r="86" spans="1:11">
      <c r="A86" s="1" t="s">
        <v>53</v>
      </c>
      <c r="B86">
        <v>10298</v>
      </c>
      <c r="H86" s="1" t="s">
        <v>23</v>
      </c>
      <c r="I86" s="20">
        <v>0.38666666666666666</v>
      </c>
    </row>
    <row r="87" spans="1:11">
      <c r="A87" s="1" t="s">
        <v>59</v>
      </c>
      <c r="B87">
        <v>8513</v>
      </c>
      <c r="H87" s="1" t="s">
        <v>15</v>
      </c>
      <c r="I87" s="20">
        <v>0.34428571428571425</v>
      </c>
    </row>
    <row r="88" spans="1:11">
      <c r="A88" s="1" t="s">
        <v>67</v>
      </c>
      <c r="B88">
        <v>5050</v>
      </c>
      <c r="H88" s="1" t="s">
        <v>196</v>
      </c>
      <c r="I88" s="20">
        <v>0.46635294117647075</v>
      </c>
    </row>
    <row r="89" spans="1:11">
      <c r="A89" s="1" t="s">
        <v>94</v>
      </c>
      <c r="B89">
        <v>1799</v>
      </c>
      <c r="H89">
        <v>4.2</v>
      </c>
    </row>
    <row r="90" spans="1:11">
      <c r="A90" s="1" t="s">
        <v>178</v>
      </c>
      <c r="B90">
        <v>28</v>
      </c>
      <c r="H90" s="3" t="s">
        <v>12</v>
      </c>
      <c r="I90" t="s">
        <v>271</v>
      </c>
    </row>
    <row r="91" spans="1:11">
      <c r="A91" s="1" t="s">
        <v>96</v>
      </c>
      <c r="B91">
        <v>1753</v>
      </c>
    </row>
    <row r="92" spans="1:11">
      <c r="A92" s="1" t="s">
        <v>124</v>
      </c>
      <c r="B92">
        <v>544</v>
      </c>
      <c r="H92" s="3" t="s">
        <v>234</v>
      </c>
      <c r="I92" s="3" t="s">
        <v>235</v>
      </c>
    </row>
    <row r="93" spans="1:11">
      <c r="A93" s="1" t="s">
        <v>118</v>
      </c>
      <c r="B93">
        <v>668</v>
      </c>
      <c r="H93" s="3" t="s">
        <v>195</v>
      </c>
      <c r="I93" t="s">
        <v>19</v>
      </c>
      <c r="J93" t="s">
        <v>16</v>
      </c>
      <c r="K93" t="s">
        <v>196</v>
      </c>
    </row>
    <row r="94" spans="1:11">
      <c r="A94" s="1" t="s">
        <v>75</v>
      </c>
      <c r="B94">
        <v>3432</v>
      </c>
      <c r="H94" s="1" t="s">
        <v>181</v>
      </c>
      <c r="I94" s="20">
        <v>1</v>
      </c>
      <c r="J94" s="20"/>
      <c r="K94" s="20">
        <v>1</v>
      </c>
    </row>
    <row r="95" spans="1:11">
      <c r="A95" s="1" t="s">
        <v>130</v>
      </c>
      <c r="B95">
        <v>386</v>
      </c>
      <c r="H95" s="1" t="s">
        <v>167</v>
      </c>
      <c r="I95" s="20">
        <v>1</v>
      </c>
      <c r="J95" s="20"/>
      <c r="K95" s="20">
        <v>1</v>
      </c>
    </row>
    <row r="96" spans="1:11">
      <c r="A96" s="1" t="s">
        <v>143</v>
      </c>
      <c r="B96">
        <v>216</v>
      </c>
      <c r="H96" s="1" t="s">
        <v>170</v>
      </c>
      <c r="I96" s="20">
        <v>1</v>
      </c>
      <c r="J96" s="20"/>
      <c r="K96" s="20">
        <v>1</v>
      </c>
    </row>
    <row r="97" spans="1:11">
      <c r="A97" s="1" t="s">
        <v>171</v>
      </c>
      <c r="B97">
        <v>37</v>
      </c>
      <c r="H97" s="1" t="s">
        <v>173</v>
      </c>
      <c r="I97" s="20">
        <v>1</v>
      </c>
      <c r="J97" s="20"/>
      <c r="K97" s="20">
        <v>1</v>
      </c>
    </row>
    <row r="98" spans="1:11">
      <c r="A98" s="1" t="s">
        <v>126</v>
      </c>
      <c r="B98">
        <v>474</v>
      </c>
      <c r="H98" s="1" t="s">
        <v>180</v>
      </c>
      <c r="I98" s="20">
        <v>1</v>
      </c>
      <c r="J98" s="20"/>
      <c r="K98" s="20">
        <v>1</v>
      </c>
    </row>
    <row r="99" spans="1:11">
      <c r="A99" s="1" t="s">
        <v>110</v>
      </c>
      <c r="B99">
        <v>936</v>
      </c>
      <c r="H99" s="1" t="s">
        <v>188</v>
      </c>
      <c r="I99" s="20">
        <v>1</v>
      </c>
      <c r="J99" s="20"/>
      <c r="K99" s="20">
        <v>1</v>
      </c>
    </row>
    <row r="100" spans="1:11">
      <c r="A100" s="1" t="s">
        <v>149</v>
      </c>
      <c r="B100">
        <v>170</v>
      </c>
      <c r="H100" s="1" t="s">
        <v>193</v>
      </c>
      <c r="I100" s="20">
        <v>1</v>
      </c>
      <c r="J100" s="20"/>
      <c r="K100" s="20">
        <v>1</v>
      </c>
    </row>
    <row r="101" spans="1:11">
      <c r="A101" s="1" t="s">
        <v>150</v>
      </c>
      <c r="B101">
        <v>170</v>
      </c>
      <c r="H101" s="1" t="s">
        <v>186</v>
      </c>
      <c r="I101" s="20">
        <v>1</v>
      </c>
      <c r="J101" s="20"/>
      <c r="K101" s="20">
        <v>1</v>
      </c>
    </row>
    <row r="102" spans="1:11">
      <c r="A102" s="1" t="s">
        <v>139</v>
      </c>
      <c r="B102">
        <v>228</v>
      </c>
      <c r="H102" s="1" t="s">
        <v>178</v>
      </c>
      <c r="I102" s="20">
        <v>1</v>
      </c>
      <c r="J102" s="20"/>
      <c r="K102" s="20">
        <v>1</v>
      </c>
    </row>
    <row r="103" spans="1:11">
      <c r="A103" s="1" t="s">
        <v>146</v>
      </c>
      <c r="B103">
        <v>188</v>
      </c>
      <c r="H103" s="1" t="s">
        <v>171</v>
      </c>
      <c r="I103" s="20">
        <v>1</v>
      </c>
      <c r="J103" s="20"/>
      <c r="K103" s="20">
        <v>1</v>
      </c>
    </row>
    <row r="104" spans="1:11">
      <c r="A104" s="1" t="s">
        <v>49</v>
      </c>
      <c r="B104">
        <v>13109</v>
      </c>
      <c r="H104" s="1" t="s">
        <v>191</v>
      </c>
      <c r="I104" s="20">
        <v>1</v>
      </c>
      <c r="J104" s="20"/>
      <c r="K104" s="20">
        <v>1</v>
      </c>
    </row>
    <row r="105" spans="1:11">
      <c r="A105" s="1" t="s">
        <v>184</v>
      </c>
      <c r="B105">
        <v>13</v>
      </c>
      <c r="H105" s="1" t="s">
        <v>33</v>
      </c>
      <c r="I105" s="20">
        <v>1</v>
      </c>
      <c r="J105" s="20"/>
      <c r="K105" s="20">
        <v>1</v>
      </c>
    </row>
    <row r="106" spans="1:11">
      <c r="A106" s="1" t="s">
        <v>119</v>
      </c>
      <c r="B106">
        <v>632</v>
      </c>
      <c r="H106" s="1" t="s">
        <v>194</v>
      </c>
      <c r="I106" s="20">
        <v>1</v>
      </c>
      <c r="J106" s="20"/>
      <c r="K106" s="20">
        <v>1</v>
      </c>
    </row>
    <row r="107" spans="1:11">
      <c r="A107" s="1" t="s">
        <v>168</v>
      </c>
      <c r="B107">
        <v>53</v>
      </c>
      <c r="H107" s="1" t="s">
        <v>174</v>
      </c>
      <c r="I107" s="20">
        <v>1</v>
      </c>
      <c r="J107" s="20"/>
      <c r="K107" s="20">
        <v>1</v>
      </c>
    </row>
    <row r="108" spans="1:11">
      <c r="A108" s="1" t="s">
        <v>191</v>
      </c>
      <c r="B108">
        <v>5</v>
      </c>
      <c r="H108" s="1" t="s">
        <v>196</v>
      </c>
      <c r="I108" s="20">
        <v>1</v>
      </c>
      <c r="J108" s="20"/>
      <c r="K108" s="20">
        <v>1</v>
      </c>
    </row>
    <row r="109" spans="1:11">
      <c r="A109" s="1" t="s">
        <v>112</v>
      </c>
      <c r="B109">
        <v>915</v>
      </c>
    </row>
    <row r="110" spans="1:11">
      <c r="A110" s="1" t="s">
        <v>33</v>
      </c>
      <c r="B110">
        <v>24112</v>
      </c>
    </row>
    <row r="111" spans="1:11">
      <c r="A111" s="1" t="s">
        <v>135</v>
      </c>
      <c r="B111">
        <v>306</v>
      </c>
    </row>
    <row r="112" spans="1:11">
      <c r="A112" s="1" t="s">
        <v>152</v>
      </c>
      <c r="B112">
        <v>157</v>
      </c>
    </row>
    <row r="113" spans="1:2">
      <c r="A113" s="1" t="s">
        <v>151</v>
      </c>
      <c r="B113">
        <v>167</v>
      </c>
    </row>
    <row r="114" spans="1:2">
      <c r="A114" s="1" t="s">
        <v>92</v>
      </c>
      <c r="B114">
        <v>2021</v>
      </c>
    </row>
    <row r="115" spans="1:2">
      <c r="A115" s="1" t="s">
        <v>157</v>
      </c>
      <c r="B115">
        <v>119</v>
      </c>
    </row>
    <row r="116" spans="1:2">
      <c r="A116" s="1" t="s">
        <v>131</v>
      </c>
      <c r="B116">
        <v>367</v>
      </c>
    </row>
    <row r="117" spans="1:2">
      <c r="A117" s="1" t="s">
        <v>120</v>
      </c>
      <c r="B117">
        <v>629</v>
      </c>
    </row>
    <row r="118" spans="1:2">
      <c r="A118" s="1" t="s">
        <v>128</v>
      </c>
      <c r="B118">
        <v>415</v>
      </c>
    </row>
    <row r="119" spans="1:2">
      <c r="A119" s="1" t="s">
        <v>31</v>
      </c>
      <c r="B119">
        <v>26482</v>
      </c>
    </row>
    <row r="120" spans="1:2">
      <c r="A120" s="1" t="s">
        <v>192</v>
      </c>
      <c r="B120">
        <v>5</v>
      </c>
    </row>
    <row r="121" spans="1:2">
      <c r="A121" s="1" t="s">
        <v>84</v>
      </c>
      <c r="B121">
        <v>2487</v>
      </c>
    </row>
    <row r="122" spans="1:2">
      <c r="A122" s="1" t="s">
        <v>115</v>
      </c>
      <c r="B122">
        <v>796</v>
      </c>
    </row>
    <row r="123" spans="1:2">
      <c r="A123" s="1" t="s">
        <v>69</v>
      </c>
      <c r="B123">
        <v>4710</v>
      </c>
    </row>
    <row r="124" spans="1:2">
      <c r="A124" s="1" t="s">
        <v>63</v>
      </c>
      <c r="B124">
        <v>6408</v>
      </c>
    </row>
    <row r="125" spans="1:2">
      <c r="A125" s="1" t="s">
        <v>129</v>
      </c>
      <c r="B125">
        <v>413</v>
      </c>
    </row>
    <row r="126" spans="1:2">
      <c r="A126" s="1" t="s">
        <v>68</v>
      </c>
      <c r="B126">
        <v>4965</v>
      </c>
    </row>
    <row r="127" spans="1:2">
      <c r="A127" s="1" t="s">
        <v>105</v>
      </c>
      <c r="B127">
        <v>1159</v>
      </c>
    </row>
    <row r="128" spans="1:2">
      <c r="A128" s="1" t="s">
        <v>91</v>
      </c>
      <c r="B128">
        <v>2071</v>
      </c>
    </row>
    <row r="129" spans="1:2">
      <c r="A129" s="1" t="s">
        <v>102</v>
      </c>
      <c r="B129">
        <v>1532</v>
      </c>
    </row>
    <row r="130" spans="1:2">
      <c r="A130" s="1" t="s">
        <v>41</v>
      </c>
      <c r="B130">
        <v>17334</v>
      </c>
    </row>
    <row r="131" spans="1:2">
      <c r="A131" s="1" t="s">
        <v>56</v>
      </c>
      <c r="B131">
        <v>9200</v>
      </c>
    </row>
    <row r="132" spans="1:2">
      <c r="A132" s="1" t="s">
        <v>52</v>
      </c>
      <c r="B132">
        <v>11640</v>
      </c>
    </row>
    <row r="133" spans="1:2">
      <c r="A133" s="1" t="s">
        <v>35</v>
      </c>
      <c r="B133">
        <v>22266</v>
      </c>
    </row>
    <row r="134" spans="1:2">
      <c r="A134" s="1" t="s">
        <v>132</v>
      </c>
      <c r="B134">
        <v>362</v>
      </c>
    </row>
    <row r="135" spans="1:2">
      <c r="A135" s="1" t="s">
        <v>90</v>
      </c>
      <c r="B135">
        <v>2113</v>
      </c>
    </row>
    <row r="136" spans="1:2">
      <c r="A136" s="1" t="s">
        <v>55</v>
      </c>
      <c r="B136">
        <v>9204</v>
      </c>
    </row>
    <row r="137" spans="1:2">
      <c r="A137" s="1" t="s">
        <v>159</v>
      </c>
      <c r="B137">
        <v>97</v>
      </c>
    </row>
    <row r="138" spans="1:2">
      <c r="A138" s="1" t="s">
        <v>194</v>
      </c>
      <c r="B138">
        <v>5</v>
      </c>
    </row>
    <row r="139" spans="1:2">
      <c r="A139" s="1" t="s">
        <v>82</v>
      </c>
      <c r="B139">
        <v>2767</v>
      </c>
    </row>
    <row r="140" spans="1:2">
      <c r="A140" s="1" t="s">
        <v>109</v>
      </c>
      <c r="B140">
        <v>1061</v>
      </c>
    </row>
    <row r="141" spans="1:2">
      <c r="A141" s="1" t="s">
        <v>85</v>
      </c>
      <c r="B141">
        <v>2465</v>
      </c>
    </row>
    <row r="142" spans="1:2">
      <c r="A142" s="1" t="s">
        <v>179</v>
      </c>
      <c r="B142">
        <v>21</v>
      </c>
    </row>
    <row r="143" spans="1:2">
      <c r="A143" s="1" t="s">
        <v>36</v>
      </c>
      <c r="B143">
        <v>22002</v>
      </c>
    </row>
    <row r="144" spans="1:2">
      <c r="A144" s="1" t="s">
        <v>60</v>
      </c>
      <c r="B144">
        <v>7397</v>
      </c>
    </row>
    <row r="145" spans="1:2">
      <c r="A145" s="1" t="s">
        <v>98</v>
      </c>
      <c r="B145">
        <v>1693</v>
      </c>
    </row>
    <row r="146" spans="1:2">
      <c r="A146" s="1" t="s">
        <v>175</v>
      </c>
      <c r="B146">
        <v>32</v>
      </c>
    </row>
    <row r="147" spans="1:2">
      <c r="A147" s="1" t="s">
        <v>65</v>
      </c>
      <c r="B147">
        <v>5792</v>
      </c>
    </row>
    <row r="148" spans="1:2">
      <c r="A148" s="1" t="s">
        <v>39</v>
      </c>
      <c r="B148">
        <v>19724</v>
      </c>
    </row>
    <row r="149" spans="1:2">
      <c r="A149" s="1" t="s">
        <v>104</v>
      </c>
      <c r="B149">
        <v>1289</v>
      </c>
    </row>
    <row r="150" spans="1:2">
      <c r="A150" s="1" t="s">
        <v>174</v>
      </c>
      <c r="B150">
        <v>34</v>
      </c>
    </row>
    <row r="151" spans="1:2">
      <c r="A151" s="1" t="s">
        <v>176</v>
      </c>
      <c r="B151">
        <v>29</v>
      </c>
    </row>
    <row r="152" spans="1:2">
      <c r="A152" s="1" t="s">
        <v>46</v>
      </c>
      <c r="B152">
        <v>15121</v>
      </c>
    </row>
    <row r="153" spans="1:2">
      <c r="A153" s="1" t="s">
        <v>47</v>
      </c>
      <c r="B153">
        <v>14334</v>
      </c>
    </row>
    <row r="154" spans="1:2">
      <c r="A154" s="1" t="s">
        <v>169</v>
      </c>
      <c r="B154">
        <v>49</v>
      </c>
    </row>
    <row r="155" spans="1:2">
      <c r="A155" s="1" t="s">
        <v>26</v>
      </c>
      <c r="B155">
        <v>33727</v>
      </c>
    </row>
    <row r="156" spans="1:2">
      <c r="A156" s="1" t="s">
        <v>156</v>
      </c>
      <c r="B156">
        <v>120</v>
      </c>
    </row>
    <row r="157" spans="1:2">
      <c r="A157" s="1" t="s">
        <v>74</v>
      </c>
      <c r="B157">
        <v>3601</v>
      </c>
    </row>
    <row r="158" spans="1:2">
      <c r="A158" s="1" t="s">
        <v>86</v>
      </c>
      <c r="B158">
        <v>2310</v>
      </c>
    </row>
    <row r="159" spans="1:2">
      <c r="A159" s="1" t="s">
        <v>145</v>
      </c>
      <c r="B159">
        <v>200</v>
      </c>
    </row>
    <row r="160" spans="1:2">
      <c r="A160" s="1" t="s">
        <v>100</v>
      </c>
      <c r="B160">
        <v>1575</v>
      </c>
    </row>
    <row r="161" spans="1:2">
      <c r="A161" s="1" t="s">
        <v>48</v>
      </c>
      <c r="B161">
        <v>13886</v>
      </c>
    </row>
    <row r="162" spans="1:2">
      <c r="A162" s="1" t="s">
        <v>77</v>
      </c>
      <c r="B162">
        <v>3191</v>
      </c>
    </row>
    <row r="163" spans="1:2">
      <c r="A163" s="1" t="s">
        <v>123</v>
      </c>
      <c r="B163">
        <v>559</v>
      </c>
    </row>
    <row r="164" spans="1:2">
      <c r="A164" s="1" t="s">
        <v>78</v>
      </c>
      <c r="B164">
        <v>3056</v>
      </c>
    </row>
    <row r="165" spans="1:2">
      <c r="A165" s="1" t="s">
        <v>76</v>
      </c>
      <c r="B165">
        <v>3245</v>
      </c>
    </row>
    <row r="166" spans="1:2">
      <c r="A166" s="1" t="s">
        <v>28</v>
      </c>
      <c r="B166">
        <v>33184</v>
      </c>
    </row>
    <row r="167" spans="1:2">
      <c r="A167" s="1" t="s">
        <v>17</v>
      </c>
      <c r="B167">
        <v>54248</v>
      </c>
    </row>
    <row r="168" spans="1:2">
      <c r="A168" s="1" t="s">
        <v>107</v>
      </c>
      <c r="B168">
        <v>1102</v>
      </c>
    </row>
    <row r="169" spans="1:2">
      <c r="A169" s="1" t="s">
        <v>64</v>
      </c>
      <c r="B169">
        <v>6195</v>
      </c>
    </row>
    <row r="170" spans="1:2">
      <c r="A170" s="1" t="s">
        <v>133</v>
      </c>
      <c r="B170">
        <v>341</v>
      </c>
    </row>
    <row r="171" spans="1:2">
      <c r="A171" s="1" t="s">
        <v>24</v>
      </c>
      <c r="B171">
        <v>34586</v>
      </c>
    </row>
    <row r="172" spans="1:2">
      <c r="A172" s="1" t="s">
        <v>154</v>
      </c>
      <c r="B172">
        <v>147</v>
      </c>
    </row>
    <row r="173" spans="1:2">
      <c r="A173" s="1" t="s">
        <v>88</v>
      </c>
      <c r="B173">
        <v>2212</v>
      </c>
    </row>
    <row r="174" spans="1:2">
      <c r="A174" s="1" t="s">
        <v>196</v>
      </c>
      <c r="B174">
        <v>1019515</v>
      </c>
    </row>
    <row r="175" spans="1:2">
      <c r="B175">
        <f>GETPIVOTDATA("Value imported in 2024 (USD thousand)",$A$3)</f>
        <v>1019515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BEDA7-049E-403C-869A-6B2FB4245B21}">
  <dimension ref="A1"/>
  <sheetViews>
    <sheetView showGridLines="0" topLeftCell="A4" zoomScale="70" zoomScaleNormal="70" workbookViewId="0">
      <selection activeCell="AB27" sqref="AB27"/>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C6C6-83DA-43E6-8AC8-1E3794CA47F0}">
  <dimension ref="A1:J37"/>
  <sheetViews>
    <sheetView topLeftCell="E16" zoomScale="130" zoomScaleNormal="130" workbookViewId="0">
      <selection activeCell="H13" sqref="H13"/>
    </sheetView>
  </sheetViews>
  <sheetFormatPr defaultRowHeight="14.4"/>
  <cols>
    <col min="1" max="2" width="29.77734375" bestFit="1" customWidth="1"/>
    <col min="3" max="3" width="18.44140625" bestFit="1" customWidth="1"/>
    <col min="4" max="4" width="29.77734375" bestFit="1" customWidth="1"/>
    <col min="5" max="5" width="21" customWidth="1"/>
    <col min="6" max="6" width="20.77734375" customWidth="1"/>
    <col min="7" max="7" width="15.77734375" customWidth="1"/>
    <col min="8" max="8" width="21.88671875" customWidth="1"/>
    <col min="9" max="9" width="28.33203125" customWidth="1"/>
    <col min="10" max="10" width="23.44140625" customWidth="1"/>
  </cols>
  <sheetData>
    <row r="1" spans="1:10">
      <c r="A1" t="s">
        <v>201</v>
      </c>
      <c r="B1" t="s">
        <v>200</v>
      </c>
      <c r="C1" t="s">
        <v>202</v>
      </c>
      <c r="D1" t="s">
        <v>203</v>
      </c>
      <c r="E1" t="s">
        <v>204</v>
      </c>
      <c r="F1" s="2" t="s">
        <v>205</v>
      </c>
    </row>
    <row r="2" spans="1:10">
      <c r="A2" s="1" t="s">
        <v>22</v>
      </c>
      <c r="B2" s="1" t="s">
        <v>163</v>
      </c>
      <c r="C2" t="s">
        <v>59</v>
      </c>
      <c r="D2" s="1" t="s">
        <v>22</v>
      </c>
      <c r="E2" t="str">
        <f t="shared" ref="E2:E37" si="0">IF(AND(COUNTIF(A:A, D2)&gt;0, COUNTIF(B:B, D2)&gt;0, COUNTIF(C:C, D2)&gt;0), "TDA", "Do not have criteria")</f>
        <v>Do not have criteria</v>
      </c>
      <c r="F2" t="str">
        <f t="shared" ref="F2:F37" si="1">IF((COUNTIF(A:A, D2)&gt;0) + (COUNTIF(B:B, D2)&gt;0) + (COUNTIF(C:C, D2)&gt;0) &gt;= 2, "TWO CRi", "ONE criteria")</f>
        <v>TWO CRi</v>
      </c>
    </row>
    <row r="3" spans="1:10">
      <c r="A3" s="1" t="s">
        <v>48</v>
      </c>
      <c r="B3" s="1" t="s">
        <v>191</v>
      </c>
      <c r="C3" t="s">
        <v>65</v>
      </c>
      <c r="D3" s="1" t="s">
        <v>48</v>
      </c>
      <c r="E3" t="str">
        <f t="shared" si="0"/>
        <v>Do not have criteria</v>
      </c>
      <c r="F3" t="str">
        <f t="shared" si="1"/>
        <v>TWO CRi</v>
      </c>
    </row>
    <row r="4" spans="1:10">
      <c r="A4" s="1" t="s">
        <v>59</v>
      </c>
      <c r="B4" s="1" t="s">
        <v>120</v>
      </c>
      <c r="C4" t="s">
        <v>48</v>
      </c>
      <c r="D4" s="1" t="s">
        <v>59</v>
      </c>
      <c r="E4" t="str">
        <f t="shared" si="0"/>
        <v>TDA</v>
      </c>
      <c r="F4" t="str">
        <f t="shared" si="1"/>
        <v>TWO CRi</v>
      </c>
    </row>
    <row r="5" spans="1:10">
      <c r="A5" s="1" t="s">
        <v>65</v>
      </c>
      <c r="B5" s="1" t="s">
        <v>109</v>
      </c>
      <c r="C5" t="s">
        <v>43</v>
      </c>
      <c r="D5" s="1" t="s">
        <v>65</v>
      </c>
      <c r="E5" t="str">
        <f t="shared" si="0"/>
        <v>Do not have criteria</v>
      </c>
      <c r="F5" t="str">
        <f t="shared" si="1"/>
        <v>TWO CRi</v>
      </c>
    </row>
    <row r="6" spans="1:10">
      <c r="A6" s="1" t="s">
        <v>69</v>
      </c>
      <c r="B6" s="1" t="s">
        <v>69</v>
      </c>
      <c r="C6" t="s">
        <v>68</v>
      </c>
      <c r="D6" s="1" t="s">
        <v>69</v>
      </c>
      <c r="E6" t="str">
        <f t="shared" si="0"/>
        <v>Do not have criteria</v>
      </c>
      <c r="F6" t="str">
        <f t="shared" si="1"/>
        <v>TWO CRi</v>
      </c>
    </row>
    <row r="7" spans="1:10">
      <c r="A7" s="1" t="s">
        <v>70</v>
      </c>
      <c r="B7" s="1" t="s">
        <v>182</v>
      </c>
      <c r="C7" t="s">
        <v>92</v>
      </c>
      <c r="D7" s="1" t="s">
        <v>70</v>
      </c>
      <c r="E7" t="str">
        <f t="shared" si="0"/>
        <v>Do not have criteria</v>
      </c>
      <c r="F7" t="str">
        <f t="shared" si="1"/>
        <v>ONE criteria</v>
      </c>
    </row>
    <row r="8" spans="1:10">
      <c r="A8" s="1" t="s">
        <v>73</v>
      </c>
      <c r="B8" s="1" t="s">
        <v>123</v>
      </c>
      <c r="C8" t="s">
        <v>144</v>
      </c>
      <c r="D8" s="1" t="s">
        <v>73</v>
      </c>
      <c r="E8" t="str">
        <f t="shared" si="0"/>
        <v>Do not have criteria</v>
      </c>
      <c r="F8" t="str">
        <f t="shared" si="1"/>
        <v>ONE criteria</v>
      </c>
      <c r="I8" t="s">
        <v>206</v>
      </c>
      <c r="J8" t="s">
        <v>208</v>
      </c>
    </row>
    <row r="9" spans="1:10">
      <c r="A9" s="1" t="s">
        <v>74</v>
      </c>
      <c r="B9" s="1" t="s">
        <v>87</v>
      </c>
      <c r="C9" t="s">
        <v>55</v>
      </c>
      <c r="D9" s="1" t="s">
        <v>74</v>
      </c>
      <c r="E9" t="str">
        <f t="shared" si="0"/>
        <v>Do not have criteria</v>
      </c>
      <c r="F9" t="str">
        <f t="shared" si="1"/>
        <v>ONE criteria</v>
      </c>
      <c r="I9" t="s">
        <v>22</v>
      </c>
      <c r="J9">
        <f>VLOOKUP(Table2[[#This Row],[Target]],Table1[#All],12,FALSE)</f>
        <v>0.46</v>
      </c>
    </row>
    <row r="10" spans="1:10">
      <c r="A10" s="1" t="s">
        <v>76</v>
      </c>
      <c r="B10" s="1" t="s">
        <v>154</v>
      </c>
      <c r="C10" t="s">
        <v>20</v>
      </c>
      <c r="D10" s="1" t="s">
        <v>76</v>
      </c>
      <c r="E10" t="str">
        <f t="shared" si="0"/>
        <v>Do not have criteria</v>
      </c>
      <c r="F10" t="str">
        <f t="shared" si="1"/>
        <v>TWO CRi</v>
      </c>
      <c r="I10" s="5" t="s">
        <v>48</v>
      </c>
      <c r="J10">
        <f>VLOOKUP(Table2[[#This Row],[Target]],Table1[#All],12,FALSE)</f>
        <v>0.46</v>
      </c>
    </row>
    <row r="11" spans="1:10">
      <c r="A11" s="1" t="s">
        <v>80</v>
      </c>
      <c r="B11" s="1" t="s">
        <v>159</v>
      </c>
      <c r="C11" t="s">
        <v>139</v>
      </c>
      <c r="D11" s="1" t="s">
        <v>80</v>
      </c>
      <c r="E11" t="str">
        <f t="shared" si="0"/>
        <v>Do not have criteria</v>
      </c>
      <c r="F11" t="str">
        <f t="shared" si="1"/>
        <v>ONE criteria</v>
      </c>
      <c r="I11" s="5" t="s">
        <v>59</v>
      </c>
      <c r="J11">
        <f>VLOOKUP(Table2[[#This Row],[Target]],Table1[#All],12,FALSE)</f>
        <v>0.46</v>
      </c>
    </row>
    <row r="12" spans="1:10">
      <c r="A12" s="1" t="s">
        <v>82</v>
      </c>
      <c r="B12" s="1" t="s">
        <v>106</v>
      </c>
      <c r="C12" t="s">
        <v>123</v>
      </c>
      <c r="D12" s="1" t="s">
        <v>82</v>
      </c>
      <c r="E12" t="str">
        <f t="shared" si="0"/>
        <v>Do not have criteria</v>
      </c>
      <c r="F12" t="str">
        <f t="shared" si="1"/>
        <v>ONE criteria</v>
      </c>
      <c r="I12" t="s">
        <v>65</v>
      </c>
      <c r="J12">
        <f>VLOOKUP(Table2[[#This Row],[Target]],Table1[#All],12,FALSE)</f>
        <v>0.28999999999999998</v>
      </c>
    </row>
    <row r="13" spans="1:10">
      <c r="A13" s="1" t="s">
        <v>87</v>
      </c>
      <c r="B13" s="1" t="s">
        <v>175</v>
      </c>
      <c r="C13" t="s">
        <v>76</v>
      </c>
      <c r="D13" s="1" t="s">
        <v>87</v>
      </c>
      <c r="E13" t="str">
        <f t="shared" si="0"/>
        <v>Do not have criteria</v>
      </c>
      <c r="F13" t="str">
        <f t="shared" si="1"/>
        <v>TWO CRi</v>
      </c>
      <c r="H13" s="4" t="s">
        <v>213</v>
      </c>
      <c r="I13" t="s">
        <v>69</v>
      </c>
      <c r="J13">
        <f>VLOOKUP(Table2[[#This Row],[Target]],Table1[#All],12,FALSE)</f>
        <v>0.26</v>
      </c>
    </row>
    <row r="14" spans="1:10">
      <c r="A14" s="1" t="s">
        <v>88</v>
      </c>
      <c r="B14" s="1" t="s">
        <v>93</v>
      </c>
      <c r="D14" s="1" t="s">
        <v>88</v>
      </c>
      <c r="E14" t="str">
        <f t="shared" si="0"/>
        <v>Do not have criteria</v>
      </c>
      <c r="F14" t="str">
        <f t="shared" si="1"/>
        <v>TWO CRi</v>
      </c>
      <c r="I14" t="s">
        <v>76</v>
      </c>
      <c r="J14">
        <f>VLOOKUP(Table2[[#This Row],[Target]],Table1[#All],12,FALSE)</f>
        <v>0.26</v>
      </c>
    </row>
    <row r="15" spans="1:10">
      <c r="A15" s="1" t="s">
        <v>92</v>
      </c>
      <c r="B15" s="1" t="s">
        <v>88</v>
      </c>
      <c r="D15" s="1" t="s">
        <v>92</v>
      </c>
      <c r="E15" t="str">
        <f t="shared" si="0"/>
        <v>Do not have criteria</v>
      </c>
      <c r="F15" t="str">
        <f t="shared" si="1"/>
        <v>TWO CRi</v>
      </c>
      <c r="I15" t="s">
        <v>87</v>
      </c>
      <c r="J15">
        <f>VLOOKUP(Table2[[#This Row],[Target]],Table1[#All],12,FALSE)</f>
        <v>0.33</v>
      </c>
    </row>
    <row r="16" spans="1:10">
      <c r="A16" s="1" t="s">
        <v>93</v>
      </c>
      <c r="B16" s="1" t="s">
        <v>103</v>
      </c>
      <c r="D16" s="1" t="s">
        <v>93</v>
      </c>
      <c r="E16" t="str">
        <f t="shared" si="0"/>
        <v>Do not have criteria</v>
      </c>
      <c r="F16" t="str">
        <f t="shared" si="1"/>
        <v>TWO CRi</v>
      </c>
      <c r="I16" t="s">
        <v>88</v>
      </c>
      <c r="J16">
        <f>VLOOKUP(Table2[[#This Row],[Target]],Table1[#All],12,FALSE)</f>
        <v>0.27</v>
      </c>
    </row>
    <row r="17" spans="1:10">
      <c r="A17" s="1" t="s">
        <v>94</v>
      </c>
      <c r="B17" s="1" t="s">
        <v>139</v>
      </c>
      <c r="D17" s="1" t="s">
        <v>94</v>
      </c>
      <c r="E17" t="str">
        <f t="shared" si="0"/>
        <v>Do not have criteria</v>
      </c>
      <c r="F17" t="str">
        <f t="shared" si="1"/>
        <v>TWO CRi</v>
      </c>
      <c r="I17" s="5" t="s">
        <v>92</v>
      </c>
      <c r="J17">
        <f>VLOOKUP(Table2[[#This Row],[Target]],Table1[#All],12,FALSE)</f>
        <v>0.26</v>
      </c>
    </row>
    <row r="18" spans="1:10">
      <c r="A18" s="1" t="s">
        <v>97</v>
      </c>
      <c r="B18" s="1" t="s">
        <v>143</v>
      </c>
      <c r="D18" s="1" t="s">
        <v>97</v>
      </c>
      <c r="E18" t="str">
        <f t="shared" si="0"/>
        <v>Do not have criteria</v>
      </c>
      <c r="F18" t="str">
        <f t="shared" si="1"/>
        <v>ONE criteria</v>
      </c>
      <c r="I18" t="s">
        <v>93</v>
      </c>
      <c r="J18">
        <f>VLOOKUP(Table2[[#This Row],[Target]],Table1[#All],12,FALSE)</f>
        <v>0.24</v>
      </c>
    </row>
    <row r="19" spans="1:10">
      <c r="A19" s="1" t="s">
        <v>100</v>
      </c>
      <c r="B19" s="1" t="s">
        <v>94</v>
      </c>
      <c r="D19" s="1" t="s">
        <v>100</v>
      </c>
      <c r="E19" t="str">
        <f t="shared" si="0"/>
        <v>Do not have criteria</v>
      </c>
      <c r="F19" t="str">
        <f t="shared" si="1"/>
        <v>ONE criteria</v>
      </c>
      <c r="I19" t="s">
        <v>94</v>
      </c>
      <c r="J19">
        <f>VLOOKUP(Table2[[#This Row],[Target]],Table1[#All],12,FALSE)</f>
        <v>0.4</v>
      </c>
    </row>
    <row r="20" spans="1:10">
      <c r="A20" s="1" t="s">
        <v>103</v>
      </c>
      <c r="B20" s="1" t="s">
        <v>59</v>
      </c>
      <c r="D20" s="1" t="s">
        <v>103</v>
      </c>
      <c r="E20" t="str">
        <f t="shared" si="0"/>
        <v>Do not have criteria</v>
      </c>
      <c r="F20" t="str">
        <f t="shared" si="1"/>
        <v>TWO CRi</v>
      </c>
      <c r="I20" t="s">
        <v>103</v>
      </c>
      <c r="J20">
        <f>VLOOKUP(Table2[[#This Row],[Target]],Table1[#All],12,FALSE)</f>
        <v>0.39</v>
      </c>
    </row>
    <row r="21" spans="1:10">
      <c r="A21" s="1" t="s">
        <v>106</v>
      </c>
      <c r="B21" s="1" t="s">
        <v>22</v>
      </c>
      <c r="D21" s="1" t="s">
        <v>106</v>
      </c>
      <c r="E21" t="str">
        <f t="shared" si="0"/>
        <v>Do not have criteria</v>
      </c>
      <c r="F21" t="str">
        <f t="shared" si="1"/>
        <v>TWO CRi</v>
      </c>
      <c r="H21" t="s">
        <v>217</v>
      </c>
      <c r="I21" t="s">
        <v>106</v>
      </c>
      <c r="J21">
        <f>VLOOKUP(Table2[[#This Row],[Target]],Table1[#All],12,FALSE)</f>
        <v>0.59</v>
      </c>
    </row>
    <row r="22" spans="1:10">
      <c r="A22" s="1"/>
      <c r="B22" s="1"/>
      <c r="D22" s="1" t="s">
        <v>163</v>
      </c>
      <c r="E22" t="str">
        <f t="shared" si="0"/>
        <v>Do not have criteria</v>
      </c>
      <c r="F22" t="str">
        <f t="shared" si="1"/>
        <v>ONE criteria</v>
      </c>
      <c r="I22" s="5" t="s">
        <v>123</v>
      </c>
      <c r="J22">
        <f>VLOOKUP(Table2[[#This Row],[Target]],Table1[#All],12,FALSE)</f>
        <v>0.32</v>
      </c>
    </row>
    <row r="23" spans="1:10">
      <c r="A23" s="1"/>
      <c r="B23" s="1"/>
      <c r="D23" s="1" t="s">
        <v>191</v>
      </c>
      <c r="E23" t="str">
        <f t="shared" si="0"/>
        <v>Do not have criteria</v>
      </c>
      <c r="F23" t="str">
        <f t="shared" si="1"/>
        <v>ONE criteria</v>
      </c>
      <c r="I23" t="s">
        <v>139</v>
      </c>
      <c r="J23">
        <f>VLOOKUP(Table2[[#This Row],[Target]],Table1[#All],12,FALSE)</f>
        <v>0.5</v>
      </c>
    </row>
    <row r="24" spans="1:10">
      <c r="A24" s="1"/>
      <c r="B24" s="1"/>
      <c r="D24" s="1" t="s">
        <v>120</v>
      </c>
      <c r="E24" t="str">
        <f t="shared" si="0"/>
        <v>Do not have criteria</v>
      </c>
      <c r="F24" t="str">
        <f t="shared" si="1"/>
        <v>ONE criteria</v>
      </c>
    </row>
    <row r="25" spans="1:10">
      <c r="A25" s="1"/>
      <c r="B25" s="1"/>
      <c r="D25" s="1" t="s">
        <v>109</v>
      </c>
      <c r="E25" t="str">
        <f t="shared" si="0"/>
        <v>Do not have criteria</v>
      </c>
      <c r="F25" t="str">
        <f t="shared" si="1"/>
        <v>ONE criteria</v>
      </c>
    </row>
    <row r="26" spans="1:10">
      <c r="A26" s="1"/>
      <c r="B26" s="1"/>
      <c r="D26" s="1" t="s">
        <v>182</v>
      </c>
      <c r="E26" t="str">
        <f t="shared" si="0"/>
        <v>Do not have criteria</v>
      </c>
      <c r="F26" t="str">
        <f t="shared" si="1"/>
        <v>ONE criteria</v>
      </c>
    </row>
    <row r="27" spans="1:10">
      <c r="A27" s="1"/>
      <c r="B27" s="1"/>
      <c r="D27" s="1" t="s">
        <v>123</v>
      </c>
      <c r="E27" t="str">
        <f t="shared" si="0"/>
        <v>Do not have criteria</v>
      </c>
      <c r="F27" t="str">
        <f t="shared" si="1"/>
        <v>TWO CRi</v>
      </c>
    </row>
    <row r="28" spans="1:10">
      <c r="A28" s="1"/>
      <c r="B28" s="1"/>
      <c r="D28" s="1" t="s">
        <v>154</v>
      </c>
      <c r="E28" t="str">
        <f t="shared" si="0"/>
        <v>Do not have criteria</v>
      </c>
      <c r="F28" t="str">
        <f t="shared" si="1"/>
        <v>ONE criteria</v>
      </c>
    </row>
    <row r="29" spans="1:10">
      <c r="A29" s="1"/>
      <c r="B29" s="1"/>
      <c r="D29" s="1" t="s">
        <v>159</v>
      </c>
      <c r="E29" t="str">
        <f t="shared" si="0"/>
        <v>Do not have criteria</v>
      </c>
      <c r="F29" t="str">
        <f t="shared" si="1"/>
        <v>ONE criteria</v>
      </c>
    </row>
    <row r="30" spans="1:10">
      <c r="A30" s="1"/>
      <c r="B30" s="1"/>
      <c r="D30" s="1" t="s">
        <v>175</v>
      </c>
      <c r="E30" t="str">
        <f t="shared" si="0"/>
        <v>Do not have criteria</v>
      </c>
      <c r="F30" t="str">
        <f t="shared" si="1"/>
        <v>ONE criteria</v>
      </c>
    </row>
    <row r="31" spans="1:10">
      <c r="A31" s="1"/>
      <c r="B31" s="1"/>
      <c r="D31" s="1" t="s">
        <v>139</v>
      </c>
      <c r="E31" t="str">
        <f t="shared" si="0"/>
        <v>Do not have criteria</v>
      </c>
      <c r="F31" t="str">
        <f t="shared" si="1"/>
        <v>TWO CRi</v>
      </c>
    </row>
    <row r="32" spans="1:10">
      <c r="A32" s="1"/>
      <c r="B32" s="1"/>
      <c r="D32" s="1" t="s">
        <v>143</v>
      </c>
      <c r="E32" t="str">
        <f t="shared" si="0"/>
        <v>Do not have criteria</v>
      </c>
      <c r="F32" t="str">
        <f t="shared" si="1"/>
        <v>ONE criteria</v>
      </c>
    </row>
    <row r="33" spans="1:6">
      <c r="A33" s="1"/>
      <c r="B33" s="1"/>
      <c r="D33" s="1" t="s">
        <v>43</v>
      </c>
      <c r="E33" t="str">
        <f t="shared" si="0"/>
        <v>Do not have criteria</v>
      </c>
      <c r="F33" t="str">
        <f t="shared" si="1"/>
        <v>ONE criteria</v>
      </c>
    </row>
    <row r="34" spans="1:6">
      <c r="A34" s="1"/>
      <c r="B34" s="1"/>
      <c r="D34" s="1" t="s">
        <v>68</v>
      </c>
      <c r="E34" t="str">
        <f t="shared" si="0"/>
        <v>Do not have criteria</v>
      </c>
      <c r="F34" t="str">
        <f t="shared" si="1"/>
        <v>ONE criteria</v>
      </c>
    </row>
    <row r="35" spans="1:6">
      <c r="A35" s="1"/>
      <c r="B35" s="1"/>
      <c r="D35" s="1" t="s">
        <v>144</v>
      </c>
      <c r="E35" t="str">
        <f t="shared" si="0"/>
        <v>Do not have criteria</v>
      </c>
      <c r="F35" t="str">
        <f t="shared" si="1"/>
        <v>ONE criteria</v>
      </c>
    </row>
    <row r="36" spans="1:6">
      <c r="A36" s="1"/>
      <c r="B36" s="1"/>
      <c r="D36" s="1" t="s">
        <v>55</v>
      </c>
      <c r="E36" t="str">
        <f t="shared" si="0"/>
        <v>Do not have criteria</v>
      </c>
      <c r="F36" t="str">
        <f t="shared" si="1"/>
        <v>ONE criteria</v>
      </c>
    </row>
    <row r="37" spans="1:6">
      <c r="A37" s="1"/>
      <c r="B37" s="1"/>
      <c r="D37" s="1" t="s">
        <v>20</v>
      </c>
      <c r="E37" t="str">
        <f t="shared" si="0"/>
        <v>Do not have criteria</v>
      </c>
      <c r="F37" t="str">
        <f t="shared" si="1"/>
        <v>ONE criteria</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434E-FF22-4486-A8C7-AC4EEA90D08F}">
  <dimension ref="A1:E79"/>
  <sheetViews>
    <sheetView topLeftCell="A31" zoomScale="52" workbookViewId="0">
      <selection activeCell="B62" sqref="B62"/>
    </sheetView>
  </sheetViews>
  <sheetFormatPr defaultRowHeight="14.4"/>
  <cols>
    <col min="1" max="1" width="41.33203125" bestFit="1" customWidth="1"/>
    <col min="2" max="2" width="68.44140625" bestFit="1" customWidth="1"/>
    <col min="3" max="3" width="40.5546875" bestFit="1" customWidth="1"/>
    <col min="4" max="4" width="41.33203125" bestFit="1" customWidth="1"/>
    <col min="5" max="5" width="55.88671875" bestFit="1" customWidth="1"/>
    <col min="12" max="12" width="33.88671875" bestFit="1" customWidth="1"/>
    <col min="13" max="13" width="40.5546875" bestFit="1" customWidth="1"/>
  </cols>
  <sheetData>
    <row r="1" spans="1:2">
      <c r="A1" s="3" t="s">
        <v>12</v>
      </c>
      <c r="B1" t="s">
        <v>271</v>
      </c>
    </row>
    <row r="3" spans="1:2">
      <c r="A3" s="3" t="s">
        <v>195</v>
      </c>
      <c r="B3" t="s">
        <v>197</v>
      </c>
    </row>
    <row r="4" spans="1:2">
      <c r="A4" s="1" t="s">
        <v>41</v>
      </c>
      <c r="B4">
        <v>17334</v>
      </c>
    </row>
    <row r="5" spans="1:2">
      <c r="A5" s="1" t="s">
        <v>40</v>
      </c>
      <c r="B5">
        <v>19180</v>
      </c>
    </row>
    <row r="6" spans="1:2">
      <c r="A6" s="1" t="s">
        <v>39</v>
      </c>
      <c r="B6">
        <v>19724</v>
      </c>
    </row>
    <row r="7" spans="1:2">
      <c r="A7" s="1" t="s">
        <v>37</v>
      </c>
      <c r="B7">
        <v>21184</v>
      </c>
    </row>
    <row r="8" spans="1:2">
      <c r="A8" s="1" t="s">
        <v>36</v>
      </c>
      <c r="B8">
        <v>22002</v>
      </c>
    </row>
    <row r="9" spans="1:2">
      <c r="A9" s="1" t="s">
        <v>35</v>
      </c>
      <c r="B9">
        <v>22266</v>
      </c>
    </row>
    <row r="10" spans="1:2">
      <c r="A10" s="1" t="s">
        <v>34</v>
      </c>
      <c r="B10">
        <v>22859</v>
      </c>
    </row>
    <row r="11" spans="1:2">
      <c r="A11" s="1" t="s">
        <v>33</v>
      </c>
      <c r="B11">
        <v>24112</v>
      </c>
    </row>
    <row r="12" spans="1:2">
      <c r="A12" s="1" t="s">
        <v>32</v>
      </c>
      <c r="B12">
        <v>24830</v>
      </c>
    </row>
    <row r="13" spans="1:2">
      <c r="A13" s="1" t="s">
        <v>31</v>
      </c>
      <c r="B13">
        <v>26482</v>
      </c>
    </row>
    <row r="14" spans="1:2">
      <c r="A14" s="1" t="s">
        <v>30</v>
      </c>
      <c r="B14">
        <v>26701</v>
      </c>
    </row>
    <row r="15" spans="1:2">
      <c r="A15" s="1" t="s">
        <v>29</v>
      </c>
      <c r="B15">
        <v>27445</v>
      </c>
    </row>
    <row r="16" spans="1:2">
      <c r="A16" s="1" t="s">
        <v>28</v>
      </c>
      <c r="B16">
        <v>33184</v>
      </c>
    </row>
    <row r="17" spans="1:5">
      <c r="A17" s="1" t="s">
        <v>26</v>
      </c>
      <c r="B17">
        <v>33727</v>
      </c>
    </row>
    <row r="18" spans="1:5">
      <c r="A18" s="1" t="s">
        <v>24</v>
      </c>
      <c r="B18">
        <v>34586</v>
      </c>
    </row>
    <row r="19" spans="1:5">
      <c r="A19" s="1" t="s">
        <v>22</v>
      </c>
      <c r="B19">
        <v>38792</v>
      </c>
    </row>
    <row r="20" spans="1:5">
      <c r="A20" s="1" t="s">
        <v>21</v>
      </c>
      <c r="B20">
        <v>41958</v>
      </c>
    </row>
    <row r="21" spans="1:5">
      <c r="A21" s="1" t="s">
        <v>20</v>
      </c>
      <c r="B21">
        <v>50769</v>
      </c>
    </row>
    <row r="22" spans="1:5">
      <c r="A22" s="1" t="s">
        <v>17</v>
      </c>
      <c r="B22">
        <v>54248</v>
      </c>
    </row>
    <row r="23" spans="1:5">
      <c r="A23" s="1" t="s">
        <v>14</v>
      </c>
      <c r="B23">
        <v>91361</v>
      </c>
    </row>
    <row r="24" spans="1:5">
      <c r="A24" s="1" t="s">
        <v>196</v>
      </c>
      <c r="B24">
        <v>652744</v>
      </c>
    </row>
    <row r="27" spans="1:5">
      <c r="A27">
        <v>2.1</v>
      </c>
    </row>
    <row r="28" spans="1:5">
      <c r="A28" s="3" t="s">
        <v>12</v>
      </c>
      <c r="B28" t="s">
        <v>271</v>
      </c>
    </row>
    <row r="30" spans="1:5">
      <c r="A30" s="3" t="s">
        <v>195</v>
      </c>
      <c r="B30" t="s">
        <v>199</v>
      </c>
      <c r="D30">
        <v>2.2000000000000002</v>
      </c>
    </row>
    <row r="31" spans="1:5">
      <c r="A31" s="1" t="s">
        <v>163</v>
      </c>
      <c r="B31">
        <v>156</v>
      </c>
      <c r="D31" s="3" t="s">
        <v>12</v>
      </c>
      <c r="E31" t="s">
        <v>271</v>
      </c>
    </row>
    <row r="32" spans="1:5">
      <c r="A32" s="1" t="s">
        <v>191</v>
      </c>
      <c r="B32">
        <v>116</v>
      </c>
    </row>
    <row r="33" spans="1:5">
      <c r="A33" s="1" t="s">
        <v>105</v>
      </c>
      <c r="B33">
        <v>56</v>
      </c>
      <c r="D33" s="3" t="s">
        <v>195</v>
      </c>
      <c r="E33" t="s">
        <v>209</v>
      </c>
    </row>
    <row r="34" spans="1:5">
      <c r="A34" s="1" t="s">
        <v>109</v>
      </c>
      <c r="B34">
        <v>55</v>
      </c>
      <c r="D34" s="1" t="s">
        <v>193</v>
      </c>
      <c r="E34">
        <v>1</v>
      </c>
    </row>
    <row r="35" spans="1:5">
      <c r="A35" s="1" t="s">
        <v>120</v>
      </c>
      <c r="B35">
        <v>55</v>
      </c>
      <c r="D35" s="1" t="s">
        <v>170</v>
      </c>
      <c r="E35">
        <v>1</v>
      </c>
    </row>
    <row r="36" spans="1:5">
      <c r="A36" s="1" t="s">
        <v>133</v>
      </c>
      <c r="B36">
        <v>46</v>
      </c>
      <c r="D36" s="1" t="s">
        <v>180</v>
      </c>
      <c r="E36">
        <v>1</v>
      </c>
    </row>
    <row r="37" spans="1:5">
      <c r="A37" s="1" t="s">
        <v>79</v>
      </c>
      <c r="B37">
        <v>45</v>
      </c>
      <c r="D37" s="1" t="s">
        <v>194</v>
      </c>
      <c r="E37">
        <v>1</v>
      </c>
    </row>
    <row r="38" spans="1:5">
      <c r="A38" s="1" t="s">
        <v>164</v>
      </c>
      <c r="B38">
        <v>45</v>
      </c>
      <c r="D38" s="1" t="s">
        <v>181</v>
      </c>
      <c r="E38">
        <v>1</v>
      </c>
    </row>
    <row r="39" spans="1:5">
      <c r="A39" s="1" t="s">
        <v>192</v>
      </c>
      <c r="B39">
        <v>45</v>
      </c>
      <c r="D39" s="1" t="s">
        <v>33</v>
      </c>
      <c r="E39">
        <v>1</v>
      </c>
    </row>
    <row r="40" spans="1:5">
      <c r="A40" s="1" t="s">
        <v>178</v>
      </c>
      <c r="B40">
        <v>43</v>
      </c>
      <c r="D40" s="1" t="s">
        <v>188</v>
      </c>
      <c r="E40">
        <v>1</v>
      </c>
    </row>
    <row r="41" spans="1:5">
      <c r="A41" s="1" t="s">
        <v>28</v>
      </c>
      <c r="B41">
        <v>43</v>
      </c>
      <c r="D41" s="1" t="s">
        <v>191</v>
      </c>
      <c r="E41">
        <v>1</v>
      </c>
    </row>
    <row r="42" spans="1:5">
      <c r="A42" s="1" t="s">
        <v>153</v>
      </c>
      <c r="B42">
        <v>42</v>
      </c>
      <c r="D42" s="1" t="s">
        <v>173</v>
      </c>
      <c r="E42">
        <v>1</v>
      </c>
    </row>
    <row r="43" spans="1:5">
      <c r="A43" s="1" t="s">
        <v>137</v>
      </c>
      <c r="B43">
        <v>42</v>
      </c>
      <c r="D43" s="1" t="s">
        <v>171</v>
      </c>
      <c r="E43">
        <v>1</v>
      </c>
    </row>
    <row r="44" spans="1:5">
      <c r="A44" s="1" t="s">
        <v>167</v>
      </c>
      <c r="B44">
        <v>39</v>
      </c>
      <c r="D44" s="1" t="s">
        <v>167</v>
      </c>
      <c r="E44">
        <v>1</v>
      </c>
    </row>
    <row r="45" spans="1:5">
      <c r="A45" s="1" t="s">
        <v>77</v>
      </c>
      <c r="B45">
        <v>39</v>
      </c>
      <c r="D45" s="1" t="s">
        <v>178</v>
      </c>
      <c r="E45">
        <v>1</v>
      </c>
    </row>
    <row r="46" spans="1:5">
      <c r="A46" s="1" t="s">
        <v>176</v>
      </c>
      <c r="B46">
        <v>38</v>
      </c>
      <c r="D46" s="1" t="s">
        <v>174</v>
      </c>
      <c r="E46">
        <v>1</v>
      </c>
    </row>
    <row r="47" spans="1:5">
      <c r="A47" s="1" t="s">
        <v>69</v>
      </c>
      <c r="B47">
        <v>34</v>
      </c>
      <c r="D47" s="1" t="s">
        <v>186</v>
      </c>
      <c r="E47">
        <v>1</v>
      </c>
    </row>
    <row r="48" spans="1:5">
      <c r="A48" s="1" t="s">
        <v>182</v>
      </c>
      <c r="B48">
        <v>33</v>
      </c>
      <c r="D48" s="1" t="s">
        <v>196</v>
      </c>
      <c r="E48">
        <v>14</v>
      </c>
    </row>
    <row r="49" spans="1:2">
      <c r="A49" s="1" t="s">
        <v>148</v>
      </c>
      <c r="B49">
        <v>33</v>
      </c>
    </row>
    <row r="50" spans="1:2">
      <c r="A50" s="1" t="s">
        <v>128</v>
      </c>
      <c r="B50">
        <v>32</v>
      </c>
    </row>
    <row r="51" spans="1:2">
      <c r="A51" s="1" t="s">
        <v>196</v>
      </c>
      <c r="B51">
        <v>1037</v>
      </c>
    </row>
    <row r="55" spans="1:2">
      <c r="A55" s="3" t="s">
        <v>12</v>
      </c>
      <c r="B55" t="s">
        <v>271</v>
      </c>
    </row>
    <row r="57" spans="1:2">
      <c r="A57" s="3" t="s">
        <v>195</v>
      </c>
      <c r="B57" t="s">
        <v>199</v>
      </c>
    </row>
    <row r="58" spans="1:2">
      <c r="A58" s="1" t="s">
        <v>163</v>
      </c>
      <c r="B58">
        <v>156</v>
      </c>
    </row>
    <row r="59" spans="1:2">
      <c r="A59" s="1" t="s">
        <v>191</v>
      </c>
      <c r="B59">
        <v>116</v>
      </c>
    </row>
    <row r="60" spans="1:2">
      <c r="A60" s="1" t="s">
        <v>105</v>
      </c>
      <c r="B60">
        <v>56</v>
      </c>
    </row>
    <row r="61" spans="1:2">
      <c r="A61" s="1" t="s">
        <v>109</v>
      </c>
      <c r="B61">
        <v>55</v>
      </c>
    </row>
    <row r="62" spans="1:2">
      <c r="A62" s="1" t="s">
        <v>120</v>
      </c>
      <c r="B62">
        <v>55</v>
      </c>
    </row>
    <row r="63" spans="1:2">
      <c r="A63" s="1" t="s">
        <v>133</v>
      </c>
      <c r="B63">
        <v>46</v>
      </c>
    </row>
    <row r="64" spans="1:2">
      <c r="A64" s="1" t="s">
        <v>79</v>
      </c>
      <c r="B64">
        <v>45</v>
      </c>
    </row>
    <row r="65" spans="1:2">
      <c r="A65" s="1" t="s">
        <v>164</v>
      </c>
      <c r="B65">
        <v>45</v>
      </c>
    </row>
    <row r="66" spans="1:2">
      <c r="A66" s="1" t="s">
        <v>192</v>
      </c>
      <c r="B66">
        <v>45</v>
      </c>
    </row>
    <row r="67" spans="1:2">
      <c r="A67" s="1" t="s">
        <v>178</v>
      </c>
      <c r="B67">
        <v>43</v>
      </c>
    </row>
    <row r="68" spans="1:2">
      <c r="A68" s="1" t="s">
        <v>28</v>
      </c>
      <c r="B68">
        <v>43</v>
      </c>
    </row>
    <row r="69" spans="1:2">
      <c r="A69" s="1" t="s">
        <v>153</v>
      </c>
      <c r="B69">
        <v>42</v>
      </c>
    </row>
    <row r="70" spans="1:2">
      <c r="A70" s="1" t="s">
        <v>137</v>
      </c>
      <c r="B70">
        <v>42</v>
      </c>
    </row>
    <row r="71" spans="1:2">
      <c r="A71" s="1" t="s">
        <v>167</v>
      </c>
      <c r="B71">
        <v>39</v>
      </c>
    </row>
    <row r="72" spans="1:2">
      <c r="A72" s="1" t="s">
        <v>77</v>
      </c>
      <c r="B72">
        <v>39</v>
      </c>
    </row>
    <row r="73" spans="1:2">
      <c r="A73" s="1" t="s">
        <v>176</v>
      </c>
      <c r="B73">
        <v>38</v>
      </c>
    </row>
    <row r="74" spans="1:2">
      <c r="A74" s="1" t="s">
        <v>69</v>
      </c>
      <c r="B74">
        <v>34</v>
      </c>
    </row>
    <row r="75" spans="1:2">
      <c r="A75" s="1" t="s">
        <v>182</v>
      </c>
      <c r="B75">
        <v>33</v>
      </c>
    </row>
    <row r="76" spans="1:2">
      <c r="A76" s="1" t="s">
        <v>148</v>
      </c>
      <c r="B76">
        <v>33</v>
      </c>
    </row>
    <row r="77" spans="1:2">
      <c r="A77" s="1" t="s">
        <v>128</v>
      </c>
      <c r="B77">
        <v>32</v>
      </c>
    </row>
    <row r="78" spans="1:2">
      <c r="A78" s="1" t="s">
        <v>196</v>
      </c>
      <c r="B78">
        <v>1037</v>
      </c>
    </row>
    <row r="79" spans="1:2">
      <c r="B79">
        <f>GETPIVOTDATA("Annual growth in value between 2020-2024 (%)",$A$57)</f>
        <v>1037</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C0E08-0CDF-41FD-89F6-2C148BAA4F3D}">
  <dimension ref="A1:S27"/>
  <sheetViews>
    <sheetView zoomScale="85" zoomScaleNormal="85" workbookViewId="0">
      <selection activeCell="M15" sqref="M15"/>
    </sheetView>
  </sheetViews>
  <sheetFormatPr defaultRowHeight="14.4"/>
  <cols>
    <col min="1" max="1" width="24.21875" bestFit="1" customWidth="1"/>
    <col min="2" max="2" width="15.88671875" bestFit="1" customWidth="1"/>
    <col min="3" max="3" width="10.77734375" bestFit="1" customWidth="1"/>
    <col min="4" max="10" width="10.44140625" customWidth="1"/>
    <col min="11" max="14" width="11.44140625" customWidth="1"/>
    <col min="15" max="15" width="14" bestFit="1" customWidth="1"/>
    <col min="18" max="18" width="17.33203125" bestFit="1" customWidth="1"/>
    <col min="19" max="19" width="6.6640625" bestFit="1" customWidth="1"/>
  </cols>
  <sheetData>
    <row r="1" spans="1:19">
      <c r="A1" t="s">
        <v>218</v>
      </c>
      <c r="B1" t="s">
        <v>207</v>
      </c>
      <c r="C1" t="s">
        <v>219</v>
      </c>
      <c r="D1" t="s">
        <v>220</v>
      </c>
      <c r="E1" t="s">
        <v>221</v>
      </c>
      <c r="F1" t="s">
        <v>222</v>
      </c>
      <c r="G1" t="s">
        <v>223</v>
      </c>
      <c r="H1" t="s">
        <v>224</v>
      </c>
      <c r="I1" t="s">
        <v>225</v>
      </c>
      <c r="J1" t="s">
        <v>226</v>
      </c>
      <c r="K1" t="s">
        <v>227</v>
      </c>
      <c r="L1" t="s">
        <v>228</v>
      </c>
      <c r="M1" t="s">
        <v>229</v>
      </c>
      <c r="N1" t="s">
        <v>230</v>
      </c>
      <c r="O1" t="s">
        <v>231</v>
      </c>
    </row>
    <row r="2" spans="1:19">
      <c r="A2" s="6" t="s">
        <v>210</v>
      </c>
      <c r="B2" s="7" t="s">
        <v>20</v>
      </c>
      <c r="C2" s="7" t="s">
        <v>29</v>
      </c>
      <c r="D2" s="7" t="s">
        <v>17</v>
      </c>
      <c r="E2" s="7" t="s">
        <v>31</v>
      </c>
      <c r="F2" s="7" t="s">
        <v>14</v>
      </c>
      <c r="G2" s="7" t="s">
        <v>48</v>
      </c>
      <c r="H2" s="7" t="s">
        <v>26</v>
      </c>
      <c r="I2" s="7" t="s">
        <v>86</v>
      </c>
      <c r="J2" s="7" t="s">
        <v>96</v>
      </c>
      <c r="K2" s="7" t="s">
        <v>39</v>
      </c>
      <c r="L2" s="7" t="s">
        <v>52</v>
      </c>
      <c r="M2" s="7" t="s">
        <v>21</v>
      </c>
      <c r="N2" s="7" t="s">
        <v>43</v>
      </c>
      <c r="O2" s="7" t="s">
        <v>28</v>
      </c>
    </row>
    <row r="3" spans="1:19">
      <c r="A3" s="6"/>
      <c r="B3" s="7">
        <v>63.8</v>
      </c>
      <c r="C3" s="7">
        <v>20.8</v>
      </c>
      <c r="D3" s="7">
        <v>11.6</v>
      </c>
      <c r="E3" s="7">
        <v>1</v>
      </c>
      <c r="F3" s="7">
        <v>0.8</v>
      </c>
      <c r="G3" s="7">
        <v>0.5</v>
      </c>
      <c r="H3" s="7">
        <v>0.4</v>
      </c>
      <c r="I3" s="7">
        <v>0.3</v>
      </c>
      <c r="J3" s="7">
        <v>0.3</v>
      </c>
      <c r="K3" s="7">
        <v>0.2</v>
      </c>
      <c r="L3" s="7">
        <v>0.1</v>
      </c>
      <c r="M3" s="7">
        <v>0.1</v>
      </c>
      <c r="N3" s="7">
        <v>0.1</v>
      </c>
      <c r="O3" s="7">
        <v>0</v>
      </c>
      <c r="R3" s="9" t="s">
        <v>29</v>
      </c>
      <c r="S3" s="9">
        <f ca="1">SUMIF(B2:O27,"Belgium",B3:O27)</f>
        <v>237.3</v>
      </c>
    </row>
    <row r="4" spans="1:19">
      <c r="A4" s="6" t="s">
        <v>48</v>
      </c>
      <c r="B4" s="7" t="s">
        <v>29</v>
      </c>
      <c r="C4" s="7" t="s">
        <v>46</v>
      </c>
      <c r="D4" s="7" t="s">
        <v>31</v>
      </c>
      <c r="E4" s="7" t="s">
        <v>72</v>
      </c>
      <c r="F4" s="7" t="s">
        <v>43</v>
      </c>
      <c r="G4" s="7" t="s">
        <v>30</v>
      </c>
      <c r="H4" s="7" t="s">
        <v>14</v>
      </c>
      <c r="I4" s="7" t="s">
        <v>28</v>
      </c>
      <c r="J4" s="7" t="s">
        <v>21</v>
      </c>
      <c r="K4" s="7" t="s">
        <v>45</v>
      </c>
      <c r="L4" s="7" t="s">
        <v>20</v>
      </c>
      <c r="M4" s="7" t="s">
        <v>98</v>
      </c>
      <c r="N4" s="7" t="s">
        <v>39</v>
      </c>
      <c r="O4" s="7" t="s">
        <v>85</v>
      </c>
      <c r="R4" s="10" t="s">
        <v>43</v>
      </c>
      <c r="S4" s="10">
        <f ca="1">SUMIF(B2:O27,"India",B3:O27)</f>
        <v>148.5</v>
      </c>
    </row>
    <row r="5" spans="1:19">
      <c r="A5" s="6"/>
      <c r="B5" s="7">
        <v>64.2</v>
      </c>
      <c r="C5" s="7">
        <v>17.7</v>
      </c>
      <c r="D5" s="7">
        <v>10.3</v>
      </c>
      <c r="E5" s="7">
        <v>2.6</v>
      </c>
      <c r="F5" s="7">
        <v>2.1</v>
      </c>
      <c r="G5" s="7">
        <v>1.1000000000000001</v>
      </c>
      <c r="H5" s="7">
        <v>0.7</v>
      </c>
      <c r="I5" s="7">
        <v>0.5</v>
      </c>
      <c r="J5" s="7">
        <v>0.4</v>
      </c>
      <c r="K5" s="7">
        <v>0.3</v>
      </c>
      <c r="L5" s="7">
        <v>0</v>
      </c>
      <c r="M5" s="7">
        <v>0</v>
      </c>
      <c r="N5" s="7">
        <v>0</v>
      </c>
      <c r="O5" s="7">
        <v>0</v>
      </c>
      <c r="R5" s="11" t="s">
        <v>20</v>
      </c>
      <c r="S5" s="11">
        <f ca="1">SUMIF(B2:O27,"Italy",B3:O27)</f>
        <v>80.100000000000009</v>
      </c>
    </row>
    <row r="6" spans="1:19">
      <c r="A6" s="6" t="s">
        <v>59</v>
      </c>
      <c r="B6" s="8" t="s">
        <v>22</v>
      </c>
      <c r="C6" s="7" t="s">
        <v>29</v>
      </c>
      <c r="D6" s="7" t="s">
        <v>73</v>
      </c>
      <c r="E6" s="7" t="s">
        <v>96</v>
      </c>
      <c r="F6" s="7" t="s">
        <v>82</v>
      </c>
      <c r="G6" s="7" t="s">
        <v>48</v>
      </c>
      <c r="H6" s="7" t="s">
        <v>31</v>
      </c>
      <c r="I6" s="7" t="s">
        <v>86</v>
      </c>
      <c r="J6" s="7" t="s">
        <v>43</v>
      </c>
      <c r="K6" s="7" t="s">
        <v>14</v>
      </c>
      <c r="L6" s="7" t="s">
        <v>17</v>
      </c>
      <c r="M6" s="7" t="s">
        <v>39</v>
      </c>
      <c r="N6" s="7" t="s">
        <v>28</v>
      </c>
      <c r="O6" s="7"/>
      <c r="R6" s="12" t="s">
        <v>45</v>
      </c>
      <c r="S6" s="12">
        <f ca="1">SUMIF(B2:O27,"Türkiye",B3:O27)</f>
        <v>121.50000000000001</v>
      </c>
    </row>
    <row r="7" spans="1:19">
      <c r="A7" s="6"/>
      <c r="B7" s="7">
        <v>53.8</v>
      </c>
      <c r="C7" s="7">
        <v>41.2</v>
      </c>
      <c r="D7" s="7">
        <v>1.6</v>
      </c>
      <c r="E7" s="7">
        <v>1.1000000000000001</v>
      </c>
      <c r="F7" s="7">
        <v>0.7</v>
      </c>
      <c r="G7" s="7">
        <v>0.5</v>
      </c>
      <c r="H7" s="7">
        <v>0.3</v>
      </c>
      <c r="I7" s="7">
        <v>0.2</v>
      </c>
      <c r="J7" s="7">
        <v>0.2</v>
      </c>
      <c r="K7" s="7">
        <v>0.2</v>
      </c>
      <c r="L7" s="7">
        <v>0.2</v>
      </c>
      <c r="M7" s="7">
        <v>0.1</v>
      </c>
      <c r="N7" s="7">
        <v>0</v>
      </c>
      <c r="O7" s="7"/>
      <c r="R7" s="13" t="s">
        <v>48</v>
      </c>
      <c r="S7" s="13">
        <f ca="1">SUMIF(B2:O27,"Türkiye",B3:O27)</f>
        <v>121.50000000000001</v>
      </c>
    </row>
    <row r="8" spans="1:19">
      <c r="A8" s="6" t="s">
        <v>212</v>
      </c>
      <c r="B8" s="7" t="s">
        <v>29</v>
      </c>
      <c r="C8" s="7" t="s">
        <v>43</v>
      </c>
      <c r="D8" s="7" t="s">
        <v>45</v>
      </c>
      <c r="E8" s="7" t="s">
        <v>17</v>
      </c>
      <c r="F8" s="7" t="s">
        <v>86</v>
      </c>
      <c r="G8" s="7" t="s">
        <v>39</v>
      </c>
      <c r="H8" s="7" t="s">
        <v>96</v>
      </c>
      <c r="I8" s="7" t="s">
        <v>28</v>
      </c>
      <c r="J8" s="7" t="s">
        <v>31</v>
      </c>
      <c r="K8" s="7" t="s">
        <v>14</v>
      </c>
      <c r="L8" s="7" t="s">
        <v>211</v>
      </c>
      <c r="M8" s="7" t="s">
        <v>20</v>
      </c>
      <c r="N8" s="7" t="s">
        <v>48</v>
      </c>
      <c r="O8" s="7" t="s">
        <v>111</v>
      </c>
      <c r="R8" s="14" t="s">
        <v>96</v>
      </c>
      <c r="S8" s="14">
        <f ca="1">SUMIF(B2:O27,"Korea, Republic of",B3:O27)</f>
        <v>222.5</v>
      </c>
    </row>
    <row r="9" spans="1:19">
      <c r="A9" s="6"/>
      <c r="B9" s="7">
        <v>39.5</v>
      </c>
      <c r="C9" s="7">
        <v>33.9</v>
      </c>
      <c r="D9" s="7">
        <v>11.2</v>
      </c>
      <c r="E9" s="7">
        <v>4.5</v>
      </c>
      <c r="F9" s="7">
        <v>3.1</v>
      </c>
      <c r="G9" s="7">
        <v>2.8</v>
      </c>
      <c r="H9" s="7">
        <v>2.6</v>
      </c>
      <c r="I9" s="7">
        <v>1.4</v>
      </c>
      <c r="J9" s="7">
        <v>0.3</v>
      </c>
      <c r="K9" s="7">
        <v>0.3</v>
      </c>
      <c r="L9" s="7">
        <v>0.1</v>
      </c>
      <c r="M9" s="7">
        <v>0.1</v>
      </c>
      <c r="N9" s="7">
        <v>0.1</v>
      </c>
      <c r="O9" s="7">
        <v>0</v>
      </c>
      <c r="R9" s="15" t="s">
        <v>31</v>
      </c>
      <c r="S9" s="15">
        <f ca="1">SUMIF(B2:O27,"Netherlands",B3:O27)</f>
        <v>63.7</v>
      </c>
    </row>
    <row r="10" spans="1:19">
      <c r="A10" s="6" t="s">
        <v>76</v>
      </c>
      <c r="B10" s="7" t="s">
        <v>43</v>
      </c>
      <c r="C10" s="7" t="s">
        <v>29</v>
      </c>
      <c r="D10" s="7" t="s">
        <v>31</v>
      </c>
      <c r="E10" s="7" t="s">
        <v>82</v>
      </c>
      <c r="F10" s="7" t="s">
        <v>96</v>
      </c>
      <c r="G10" s="7" t="s">
        <v>17</v>
      </c>
      <c r="H10" s="7" t="s">
        <v>68</v>
      </c>
      <c r="I10" s="7" t="s">
        <v>21</v>
      </c>
      <c r="J10" s="7" t="s">
        <v>14</v>
      </c>
      <c r="K10" s="7" t="s">
        <v>48</v>
      </c>
      <c r="L10" s="7" t="s">
        <v>26</v>
      </c>
      <c r="M10" s="7" t="s">
        <v>39</v>
      </c>
      <c r="N10" s="7" t="s">
        <v>20</v>
      </c>
      <c r="O10" s="7" t="s">
        <v>28</v>
      </c>
      <c r="R10" s="16" t="s">
        <v>65</v>
      </c>
      <c r="S10" s="16">
        <f ca="1">SUMIF(B2:O27,"South Africa",B3:O27)</f>
        <v>79.899999999999991</v>
      </c>
    </row>
    <row r="11" spans="1:19">
      <c r="A11" s="6"/>
      <c r="B11" s="7">
        <v>44.7</v>
      </c>
      <c r="C11" s="7">
        <v>16.3</v>
      </c>
      <c r="D11" s="7">
        <v>12</v>
      </c>
      <c r="E11" s="7">
        <v>12</v>
      </c>
      <c r="F11" s="7">
        <v>3.6</v>
      </c>
      <c r="G11" s="7">
        <v>3.1</v>
      </c>
      <c r="H11" s="7">
        <v>2.7</v>
      </c>
      <c r="I11" s="7">
        <v>1.5</v>
      </c>
      <c r="J11" s="7">
        <v>1.4</v>
      </c>
      <c r="K11" s="7">
        <v>1.3</v>
      </c>
      <c r="L11" s="7">
        <v>0.5</v>
      </c>
      <c r="M11" s="7">
        <v>0.4</v>
      </c>
      <c r="N11" s="7">
        <v>0.3</v>
      </c>
      <c r="O11" s="7">
        <v>0.1</v>
      </c>
      <c r="R11" s="17" t="s">
        <v>22</v>
      </c>
      <c r="S11" s="17">
        <f ca="1">SUMIF(B2:O27,"Israel",B3:O27)</f>
        <v>55.4</v>
      </c>
    </row>
    <row r="12" spans="1:19">
      <c r="A12" s="6" t="s">
        <v>214</v>
      </c>
      <c r="B12" s="7" t="s">
        <v>65</v>
      </c>
      <c r="C12" s="7" t="s">
        <v>48</v>
      </c>
      <c r="D12" s="7" t="s">
        <v>96</v>
      </c>
      <c r="E12" s="7" t="s">
        <v>29</v>
      </c>
      <c r="F12" s="7" t="s">
        <v>123</v>
      </c>
      <c r="G12" s="7" t="s">
        <v>94</v>
      </c>
      <c r="H12" s="7"/>
      <c r="I12" s="7"/>
      <c r="J12" s="7"/>
      <c r="K12" s="7"/>
      <c r="L12" s="7"/>
      <c r="M12" s="7"/>
      <c r="N12" s="7"/>
      <c r="O12" s="7"/>
      <c r="R12" s="18" t="s">
        <v>39</v>
      </c>
      <c r="S12" s="18">
        <f ca="1">SUMIF(B2:O27,"Spain",B3:O27)</f>
        <v>39.800000000000004</v>
      </c>
    </row>
    <row r="13" spans="1:19">
      <c r="A13" s="6"/>
      <c r="B13" s="7">
        <v>37.700000000000003</v>
      </c>
      <c r="C13" s="7">
        <v>31.5</v>
      </c>
      <c r="D13" s="7">
        <v>30.4</v>
      </c>
      <c r="E13" s="7">
        <v>0.3</v>
      </c>
      <c r="F13" s="7">
        <v>0.1</v>
      </c>
      <c r="G13" s="7">
        <v>0</v>
      </c>
      <c r="H13" s="7"/>
      <c r="I13" s="7"/>
      <c r="J13" s="7"/>
      <c r="K13" s="7"/>
      <c r="L13" s="7"/>
      <c r="M13" s="7"/>
      <c r="N13" s="7"/>
      <c r="O13" s="7"/>
      <c r="R13" s="19" t="s">
        <v>14</v>
      </c>
      <c r="S13" s="19">
        <f ca="1">SUMIF(B2:O27,"Germany",B3:O27)</f>
        <v>22</v>
      </c>
    </row>
    <row r="14" spans="1:19">
      <c r="A14" s="6" t="s">
        <v>88</v>
      </c>
      <c r="B14" s="7" t="s">
        <v>65</v>
      </c>
      <c r="C14" s="7" t="s">
        <v>112</v>
      </c>
      <c r="D14" s="7" t="s">
        <v>96</v>
      </c>
      <c r="E14" s="7" t="s">
        <v>45</v>
      </c>
      <c r="F14" s="7" t="s">
        <v>76</v>
      </c>
      <c r="G14" s="7" t="s">
        <v>40</v>
      </c>
      <c r="H14" s="7" t="s">
        <v>43</v>
      </c>
      <c r="I14" s="7" t="s">
        <v>26</v>
      </c>
      <c r="J14" s="7"/>
      <c r="K14" s="7"/>
      <c r="L14" s="7"/>
      <c r="M14" s="7"/>
      <c r="N14" s="7"/>
      <c r="O14" s="7"/>
    </row>
    <row r="15" spans="1:19">
      <c r="A15" s="6"/>
      <c r="B15" s="7">
        <v>40.9</v>
      </c>
      <c r="C15" s="7">
        <v>24.3</v>
      </c>
      <c r="D15" s="7">
        <v>14.6</v>
      </c>
      <c r="E15" s="7">
        <v>13</v>
      </c>
      <c r="F15" s="7">
        <v>4.9000000000000004</v>
      </c>
      <c r="G15" s="7">
        <v>0.9</v>
      </c>
      <c r="H15" s="7">
        <v>0.7</v>
      </c>
      <c r="I15" s="7">
        <v>0.7</v>
      </c>
      <c r="J15" s="7"/>
      <c r="K15" s="7"/>
      <c r="L15" s="7"/>
      <c r="M15" s="7"/>
      <c r="N15" s="7"/>
      <c r="O15" s="7"/>
    </row>
    <row r="16" spans="1:19">
      <c r="A16" s="6" t="s">
        <v>92</v>
      </c>
      <c r="B16" s="7" t="s">
        <v>39</v>
      </c>
      <c r="C16" s="7" t="s">
        <v>48</v>
      </c>
      <c r="D16" s="7" t="s">
        <v>29</v>
      </c>
      <c r="E16" s="7" t="s">
        <v>20</v>
      </c>
      <c r="F16" s="7" t="s">
        <v>21</v>
      </c>
      <c r="G16" s="7" t="s">
        <v>43</v>
      </c>
      <c r="H16" s="7" t="s">
        <v>96</v>
      </c>
      <c r="I16" s="7" t="s">
        <v>47</v>
      </c>
      <c r="J16" s="7" t="s">
        <v>30</v>
      </c>
      <c r="K16" s="7"/>
      <c r="L16" s="7"/>
      <c r="M16" s="7"/>
      <c r="N16" s="7"/>
      <c r="O16" s="7"/>
    </row>
    <row r="17" spans="1:15">
      <c r="A17" s="6"/>
      <c r="B17" s="7">
        <v>34.700000000000003</v>
      </c>
      <c r="C17" s="7">
        <v>24.8</v>
      </c>
      <c r="D17" s="7">
        <v>22.2</v>
      </c>
      <c r="E17" s="7">
        <v>15.5</v>
      </c>
      <c r="F17" s="7">
        <v>0.7</v>
      </c>
      <c r="G17" s="7">
        <v>0.7</v>
      </c>
      <c r="H17" s="7">
        <v>0.6</v>
      </c>
      <c r="I17" s="7">
        <v>0.5</v>
      </c>
      <c r="J17" s="7">
        <v>0.1</v>
      </c>
      <c r="K17" s="7"/>
      <c r="L17" s="7"/>
      <c r="M17" s="7"/>
      <c r="N17" s="7"/>
      <c r="O17" s="7"/>
    </row>
    <row r="18" spans="1:15">
      <c r="A18" s="6" t="s">
        <v>93</v>
      </c>
      <c r="B18" s="7" t="s">
        <v>31</v>
      </c>
      <c r="C18" s="7" t="s">
        <v>29</v>
      </c>
      <c r="D18" s="7" t="s">
        <v>30</v>
      </c>
      <c r="E18" s="7" t="s">
        <v>14</v>
      </c>
      <c r="F18" s="7" t="s">
        <v>48</v>
      </c>
      <c r="G18" s="7" t="s">
        <v>21</v>
      </c>
      <c r="H18" s="7" t="s">
        <v>35</v>
      </c>
      <c r="I18" s="7" t="s">
        <v>96</v>
      </c>
      <c r="J18" s="7"/>
      <c r="K18" s="7"/>
      <c r="L18" s="7"/>
      <c r="M18" s="7"/>
      <c r="N18" s="7"/>
      <c r="O18" s="7"/>
    </row>
    <row r="19" spans="1:15">
      <c r="A19" s="6"/>
      <c r="B19" s="7">
        <v>35.799999999999997</v>
      </c>
      <c r="C19" s="7">
        <v>25.9</v>
      </c>
      <c r="D19" s="7">
        <v>13.6</v>
      </c>
      <c r="E19" s="7">
        <v>13.1</v>
      </c>
      <c r="F19" s="7">
        <v>7.9</v>
      </c>
      <c r="G19" s="7">
        <v>2.2999999999999998</v>
      </c>
      <c r="H19" s="7">
        <v>0.9</v>
      </c>
      <c r="I19" s="7">
        <v>0.4</v>
      </c>
      <c r="J19" s="7"/>
      <c r="K19" s="7"/>
      <c r="L19" s="7"/>
      <c r="M19" s="7"/>
      <c r="N19" s="7"/>
      <c r="O19" s="7"/>
    </row>
    <row r="20" spans="1:15">
      <c r="A20" s="6" t="s">
        <v>215</v>
      </c>
      <c r="B20" s="7" t="s">
        <v>96</v>
      </c>
      <c r="C20" s="7" t="s">
        <v>43</v>
      </c>
      <c r="D20" s="7" t="s">
        <v>29</v>
      </c>
      <c r="E20" s="7" t="s">
        <v>45</v>
      </c>
      <c r="F20" s="7" t="s">
        <v>31</v>
      </c>
      <c r="G20" s="7" t="s">
        <v>28</v>
      </c>
      <c r="H20" s="7" t="s">
        <v>39</v>
      </c>
      <c r="I20" s="7" t="s">
        <v>65</v>
      </c>
      <c r="J20" s="7" t="s">
        <v>86</v>
      </c>
      <c r="K20" s="7" t="s">
        <v>48</v>
      </c>
      <c r="L20" s="7" t="s">
        <v>36</v>
      </c>
      <c r="M20" s="7"/>
      <c r="N20" s="7"/>
      <c r="O20" s="7"/>
    </row>
    <row r="21" spans="1:15">
      <c r="A21" s="6"/>
      <c r="B21" s="7">
        <v>59</v>
      </c>
      <c r="C21" s="7">
        <v>21.6</v>
      </c>
      <c r="D21" s="7">
        <v>6.9</v>
      </c>
      <c r="E21" s="7">
        <v>3.4</v>
      </c>
      <c r="F21" s="7">
        <v>2.4</v>
      </c>
      <c r="G21" s="7">
        <v>2.1</v>
      </c>
      <c r="H21" s="7">
        <v>1.6</v>
      </c>
      <c r="I21" s="7">
        <v>1.3</v>
      </c>
      <c r="J21" s="7">
        <v>0.7</v>
      </c>
      <c r="K21" s="7">
        <v>0.4</v>
      </c>
      <c r="L21" s="7">
        <v>0.4</v>
      </c>
      <c r="M21" s="7"/>
      <c r="N21" s="7"/>
      <c r="O21" s="7"/>
    </row>
    <row r="22" spans="1:15">
      <c r="A22" s="6" t="s">
        <v>216</v>
      </c>
      <c r="B22" s="7" t="s">
        <v>48</v>
      </c>
      <c r="C22" s="7" t="s">
        <v>113</v>
      </c>
      <c r="D22" s="7" t="s">
        <v>96</v>
      </c>
      <c r="E22" s="7" t="s">
        <v>14</v>
      </c>
      <c r="F22" s="7" t="s">
        <v>31</v>
      </c>
      <c r="G22" s="7"/>
      <c r="H22" s="7"/>
      <c r="I22" s="7"/>
      <c r="J22" s="7"/>
      <c r="K22" s="7"/>
      <c r="L22" s="7"/>
      <c r="M22" s="7"/>
      <c r="N22" s="7"/>
      <c r="O22" s="7"/>
    </row>
    <row r="23" spans="1:15">
      <c r="A23" s="6"/>
      <c r="B23" s="7">
        <v>54.5</v>
      </c>
      <c r="C23" s="7">
        <v>29.1</v>
      </c>
      <c r="D23" s="7">
        <v>9.3000000000000007</v>
      </c>
      <c r="E23" s="7">
        <v>5.5</v>
      </c>
      <c r="F23" s="7">
        <v>1.6</v>
      </c>
      <c r="G23" s="7"/>
      <c r="H23" s="7"/>
      <c r="I23" s="7"/>
      <c r="J23" s="7"/>
      <c r="K23" s="7"/>
      <c r="L23" s="7"/>
      <c r="M23" s="7"/>
      <c r="N23" s="7"/>
      <c r="O23" s="7"/>
    </row>
    <row r="24" spans="1:15">
      <c r="A24" s="6" t="s">
        <v>123</v>
      </c>
      <c r="B24" s="7" t="s">
        <v>43</v>
      </c>
      <c r="C24" s="7" t="s">
        <v>45</v>
      </c>
      <c r="D24" s="7" t="s">
        <v>96</v>
      </c>
      <c r="E24" s="8" t="s">
        <v>22</v>
      </c>
      <c r="F24" s="7" t="s">
        <v>94</v>
      </c>
      <c r="G24" s="7"/>
      <c r="H24" s="7"/>
      <c r="I24" s="7"/>
      <c r="J24" s="7"/>
      <c r="K24" s="7"/>
      <c r="L24" s="7"/>
      <c r="M24" s="7"/>
      <c r="N24" s="7"/>
      <c r="O24" s="7"/>
    </row>
    <row r="25" spans="1:15">
      <c r="A25" s="6"/>
      <c r="B25" s="7">
        <v>33.5</v>
      </c>
      <c r="C25" s="7">
        <v>33.1</v>
      </c>
      <c r="D25" s="7">
        <v>31.7</v>
      </c>
      <c r="E25" s="7">
        <v>1.6</v>
      </c>
      <c r="F25" s="7">
        <v>0.2</v>
      </c>
      <c r="G25" s="7"/>
      <c r="H25" s="7"/>
      <c r="I25" s="7"/>
      <c r="J25" s="7"/>
      <c r="K25" s="7"/>
      <c r="L25" s="7"/>
      <c r="M25" s="7"/>
      <c r="N25" s="7"/>
      <c r="O25" s="7"/>
    </row>
    <row r="26" spans="1:15">
      <c r="A26" s="6" t="s">
        <v>139</v>
      </c>
      <c r="B26" s="7" t="s">
        <v>96</v>
      </c>
      <c r="C26" s="7" t="s">
        <v>43</v>
      </c>
      <c r="D26" s="7" t="s">
        <v>26</v>
      </c>
      <c r="E26" s="7" t="s">
        <v>45</v>
      </c>
      <c r="F26" s="7" t="s">
        <v>21</v>
      </c>
      <c r="G26" s="7" t="s">
        <v>112</v>
      </c>
      <c r="H26" s="7" t="s">
        <v>20</v>
      </c>
      <c r="I26" s="7"/>
      <c r="J26" s="7"/>
      <c r="K26" s="7"/>
      <c r="L26" s="7"/>
      <c r="M26" s="7"/>
      <c r="N26" s="7"/>
      <c r="O26" s="7"/>
    </row>
    <row r="27" spans="1:15">
      <c r="A27" s="6"/>
      <c r="B27" s="7">
        <v>68.900000000000006</v>
      </c>
      <c r="C27" s="7">
        <v>11</v>
      </c>
      <c r="D27" s="7">
        <v>9.1999999999999993</v>
      </c>
      <c r="E27" s="7">
        <v>7.5</v>
      </c>
      <c r="F27" s="7">
        <v>2.2000000000000002</v>
      </c>
      <c r="G27" s="7">
        <v>0.9</v>
      </c>
      <c r="H27" s="7">
        <v>0.4</v>
      </c>
      <c r="I27" s="7"/>
      <c r="J27" s="7"/>
      <c r="K27" s="7"/>
      <c r="L27" s="7"/>
      <c r="M27" s="7"/>
      <c r="N27" s="7"/>
      <c r="O27" s="7"/>
    </row>
  </sheetData>
  <conditionalFormatting sqref="A1:O27">
    <cfRule type="expression" dxfId="20" priority="21">
      <formula>$A$4</formula>
    </cfRule>
  </conditionalFormatting>
  <conditionalFormatting sqref="B2:O27">
    <cfRule type="expression" dxfId="19" priority="1">
      <formula>ISNUMBER(SEARCH("South Africa",B2))</formula>
    </cfRule>
    <cfRule type="expression" dxfId="18" priority="2">
      <formula>ISNUMBER(SEARCH("Poland",B2))</formula>
    </cfRule>
    <cfRule type="expression" dxfId="17" priority="3">
      <formula>ISNUMBER(SEARCH("Pakistan",B2))</formula>
    </cfRule>
    <cfRule type="expression" dxfId="16" priority="4">
      <formula>ISNUMBER(SEARCH("Saudi",B2))</formula>
    </cfRule>
    <cfRule type="expression" dxfId="15" priority="5">
      <formula>ISNUMBER(SEARCH("Türkiye",B2))</formula>
    </cfRule>
    <cfRule type="expression" dxfId="14" priority="6">
      <formula>ISNUMBER(SEARCH("Thailand",B2))</formula>
    </cfRule>
    <cfRule type="expression" dxfId="13" priority="7">
      <formula>ISNUMBER(SEARCH("China",B2))</formula>
    </cfRule>
    <cfRule type="expression" dxfId="12" priority="8">
      <formula>ISNUMBER(SEARCH("Austria",B2))</formula>
    </cfRule>
    <cfRule type="expression" dxfId="11" priority="9">
      <formula>ISNUMBER(SEARCH("Finland",B2))</formula>
    </cfRule>
    <cfRule type="expression" dxfId="10" priority="10">
      <formula>ISNUMBER(SEARCH("Sweden",B2))</formula>
    </cfRule>
    <cfRule type="expression" dxfId="9" priority="11">
      <formula>ISNUMBER(SEARCH("Korea",B2))</formula>
    </cfRule>
    <cfRule type="expression" dxfId="8" priority="12">
      <formula>ISNUMBER(SEARCH("United Stat",B2))</formula>
    </cfRule>
    <cfRule type="expression" dxfId="7" priority="13">
      <formula>ISNUMBER(SEARCH("United King",B2))</formula>
    </cfRule>
    <cfRule type="expression" dxfId="6" priority="14">
      <formula>ISNUMBER(SEARCH("India",B2))</formula>
    </cfRule>
    <cfRule type="expression" dxfId="5" priority="15">
      <formula>ISNUMBER(SEARCH("France",B2))</formula>
    </cfRule>
    <cfRule type="expression" dxfId="4" priority="16">
      <formula>ISNUMBER(SEARCH("Spain",B2))</formula>
    </cfRule>
    <cfRule type="expression" dxfId="3" priority="17">
      <formula>ISNUMBER(SEARCH("Netherlands",B2))</formula>
    </cfRule>
    <cfRule type="expression" dxfId="2" priority="18">
      <formula>ISNUMBER(SEARCH("Germany",B2))</formula>
    </cfRule>
    <cfRule type="expression" dxfId="1" priority="19">
      <formula>ISNUMBER(SEARCH("Belgium",B2))</formula>
    </cfRule>
    <cfRule type="expression" dxfId="0" priority="20">
      <formula>ISNUMBER(SEARCH("Italy",B2))</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23DC-5A53-4304-8362-E0F297933AE5}">
  <dimension ref="A1:Y171"/>
  <sheetViews>
    <sheetView topLeftCell="M1" zoomScaleNormal="100" workbookViewId="0">
      <selection activeCell="Y9" sqref="Y9"/>
    </sheetView>
  </sheetViews>
  <sheetFormatPr defaultRowHeight="14.4"/>
  <cols>
    <col min="1" max="1" width="33.44140625" bestFit="1" customWidth="1"/>
    <col min="2" max="2" width="12.88671875" bestFit="1" customWidth="1"/>
    <col min="3" max="3" width="37.109375" bestFit="1" customWidth="1"/>
    <col min="4" max="4" width="35.88671875" bestFit="1" customWidth="1"/>
    <col min="5" max="5" width="25.5546875" bestFit="1" customWidth="1"/>
    <col min="6" max="6" width="21.5546875" bestFit="1" customWidth="1"/>
    <col min="7" max="7" width="43.5546875" bestFit="1" customWidth="1"/>
    <col min="8" max="8" width="46.21875" bestFit="1" customWidth="1"/>
    <col min="9" max="9" width="43.5546875" bestFit="1" customWidth="1"/>
    <col min="10" max="10" width="25.6640625" bestFit="1" customWidth="1"/>
    <col min="11" max="11" width="41.77734375" bestFit="1" customWidth="1"/>
    <col min="12" max="12" width="34.77734375" bestFit="1" customWidth="1"/>
    <col min="13" max="13" width="48.44140625" bestFit="1" customWidth="1"/>
    <col min="14" max="14" width="12.88671875" bestFit="1" customWidth="1"/>
    <col min="15" max="15" width="25.5546875" bestFit="1" customWidth="1"/>
    <col min="16" max="16" width="12" bestFit="1" customWidth="1"/>
    <col min="18" max="18" width="16.44140625" bestFit="1" customWidth="1"/>
    <col min="19" max="19" width="10" customWidth="1"/>
    <col min="20" max="20" width="9.44140625" customWidth="1"/>
    <col min="21" max="21" width="7.33203125" customWidth="1"/>
    <col min="22" max="22" width="15" customWidth="1"/>
    <col min="23" max="23" width="18.88671875" bestFit="1" customWidth="1"/>
    <col min="24" max="24" width="15.88671875" bestFit="1" customWidth="1"/>
    <col min="25" max="25" width="19.109375" bestFit="1" customWidth="1"/>
  </cols>
  <sheetData>
    <row r="1" spans="1:25">
      <c r="A1" t="s">
        <v>0</v>
      </c>
      <c r="B1" t="s">
        <v>12</v>
      </c>
      <c r="C1" t="s">
        <v>1</v>
      </c>
      <c r="D1" t="s">
        <v>2</v>
      </c>
      <c r="E1" t="s">
        <v>3</v>
      </c>
      <c r="F1" t="s">
        <v>4</v>
      </c>
      <c r="G1" t="s">
        <v>5</v>
      </c>
      <c r="H1" t="s">
        <v>6</v>
      </c>
      <c r="I1" t="s">
        <v>7</v>
      </c>
      <c r="J1" t="s">
        <v>8</v>
      </c>
      <c r="K1" t="s">
        <v>9</v>
      </c>
      <c r="L1" t="s">
        <v>10</v>
      </c>
      <c r="M1" t="s">
        <v>11</v>
      </c>
      <c r="N1" t="s">
        <v>198</v>
      </c>
      <c r="O1" t="s">
        <v>13</v>
      </c>
      <c r="P1" t="s">
        <v>248</v>
      </c>
    </row>
    <row r="2" spans="1:25">
      <c r="A2" t="s">
        <v>14</v>
      </c>
      <c r="B2" t="s">
        <v>15</v>
      </c>
      <c r="C2">
        <v>91361</v>
      </c>
      <c r="D2">
        <v>-25985</v>
      </c>
      <c r="E2">
        <v>341423</v>
      </c>
      <c r="F2">
        <v>268</v>
      </c>
      <c r="G2">
        <v>8</v>
      </c>
      <c r="H2">
        <v>16</v>
      </c>
      <c r="I2">
        <v>-9</v>
      </c>
      <c r="J2">
        <v>9</v>
      </c>
      <c r="K2">
        <v>660</v>
      </c>
      <c r="L2">
        <v>0.26</v>
      </c>
      <c r="M2">
        <v>1.8</v>
      </c>
      <c r="N2" t="s">
        <v>15</v>
      </c>
      <c r="O2" t="s">
        <v>16</v>
      </c>
      <c r="P2">
        <f xml:space="preserve"> Table17[[#This Row],[Unit value (USD/unit)]] * (1 + Table17[[#This Row],[Average tariff (estimated) applied by the country (%)]]/100)</f>
        <v>272.82400000000001</v>
      </c>
    </row>
    <row r="3" spans="1:25">
      <c r="A3" t="s">
        <v>17</v>
      </c>
      <c r="B3" t="s">
        <v>18</v>
      </c>
      <c r="C3">
        <v>54248</v>
      </c>
      <c r="D3">
        <v>-13806</v>
      </c>
      <c r="E3">
        <v>105800</v>
      </c>
      <c r="F3">
        <v>513</v>
      </c>
      <c r="G3">
        <v>5</v>
      </c>
      <c r="H3">
        <v>3</v>
      </c>
      <c r="I3">
        <v>28</v>
      </c>
      <c r="J3">
        <v>5.3</v>
      </c>
      <c r="K3">
        <v>2918</v>
      </c>
      <c r="L3">
        <v>0.64</v>
      </c>
      <c r="M3">
        <v>1.8</v>
      </c>
      <c r="N3" t="s">
        <v>18</v>
      </c>
      <c r="O3" t="s">
        <v>19</v>
      </c>
      <c r="P3">
        <f xml:space="preserve"> Table17[[#This Row],[Unit value (USD/unit)]] * (1 + Table17[[#This Row],[Average tariff (estimated) applied by the country (%)]]/100)</f>
        <v>522.23400000000004</v>
      </c>
    </row>
    <row r="4" spans="1:25">
      <c r="A4" t="s">
        <v>20</v>
      </c>
      <c r="B4" t="s">
        <v>15</v>
      </c>
      <c r="C4">
        <v>50769</v>
      </c>
      <c r="D4">
        <v>-50762</v>
      </c>
      <c r="E4">
        <v>97632</v>
      </c>
      <c r="F4">
        <v>520</v>
      </c>
      <c r="G4">
        <v>6</v>
      </c>
      <c r="H4">
        <v>4</v>
      </c>
      <c r="I4">
        <v>2</v>
      </c>
      <c r="J4">
        <v>5</v>
      </c>
      <c r="K4">
        <v>825</v>
      </c>
      <c r="L4">
        <v>0.19</v>
      </c>
      <c r="M4">
        <v>1.8</v>
      </c>
      <c r="N4" t="s">
        <v>15</v>
      </c>
      <c r="O4" t="s">
        <v>16</v>
      </c>
      <c r="P4">
        <f xml:space="preserve"> Table17[[#This Row],[Unit value (USD/unit)]] * (1 + Table17[[#This Row],[Average tariff (estimated) applied by the country (%)]]/100)</f>
        <v>529.36</v>
      </c>
    </row>
    <row r="5" spans="1:25">
      <c r="A5" t="s">
        <v>21</v>
      </c>
      <c r="B5" t="s">
        <v>15</v>
      </c>
      <c r="C5">
        <v>41958</v>
      </c>
      <c r="D5">
        <v>-2345</v>
      </c>
      <c r="E5">
        <v>62054</v>
      </c>
      <c r="F5">
        <v>676</v>
      </c>
      <c r="G5">
        <v>8</v>
      </c>
      <c r="H5">
        <v>0</v>
      </c>
      <c r="I5">
        <v>3</v>
      </c>
      <c r="J5">
        <v>4.0999999999999996</v>
      </c>
      <c r="K5">
        <v>689</v>
      </c>
      <c r="L5">
        <v>0.25</v>
      </c>
      <c r="M5">
        <v>1.8</v>
      </c>
      <c r="N5" t="s">
        <v>15</v>
      </c>
      <c r="O5" t="s">
        <v>16</v>
      </c>
      <c r="P5">
        <f xml:space="preserve"> Table17[[#This Row],[Unit value (USD/unit)]] * (1 + Table17[[#This Row],[Average tariff (estimated) applied by the country (%)]]/100)</f>
        <v>688.16800000000001</v>
      </c>
    </row>
    <row r="6" spans="1:25">
      <c r="A6" t="s">
        <v>22</v>
      </c>
      <c r="B6" t="s">
        <v>23</v>
      </c>
      <c r="C6">
        <v>38792</v>
      </c>
      <c r="D6">
        <v>-33359</v>
      </c>
      <c r="E6">
        <v>62769</v>
      </c>
      <c r="F6">
        <v>618</v>
      </c>
      <c r="G6">
        <v>13</v>
      </c>
      <c r="H6">
        <v>4</v>
      </c>
      <c r="I6">
        <v>10</v>
      </c>
      <c r="J6">
        <v>3.8</v>
      </c>
      <c r="K6">
        <v>3515</v>
      </c>
      <c r="L6">
        <v>0.46</v>
      </c>
      <c r="M6">
        <v>1.8</v>
      </c>
      <c r="N6" t="s">
        <v>23</v>
      </c>
      <c r="O6" t="s">
        <v>16</v>
      </c>
      <c r="P6">
        <f xml:space="preserve"> Table17[[#This Row],[Unit value (USD/unit)]] * (1 + Table17[[#This Row],[Average tariff (estimated) applied by the country (%)]]/100)</f>
        <v>629.12400000000002</v>
      </c>
    </row>
    <row r="7" spans="1:25">
      <c r="A7" t="s">
        <v>24</v>
      </c>
      <c r="B7" t="s">
        <v>25</v>
      </c>
      <c r="C7">
        <v>34586</v>
      </c>
      <c r="D7">
        <v>-33906</v>
      </c>
      <c r="E7">
        <v>55396</v>
      </c>
      <c r="F7">
        <v>624</v>
      </c>
      <c r="G7">
        <v>9</v>
      </c>
      <c r="H7">
        <v>1</v>
      </c>
      <c r="I7">
        <v>-9</v>
      </c>
      <c r="J7">
        <v>3.4</v>
      </c>
      <c r="K7">
        <v>1916</v>
      </c>
      <c r="L7">
        <v>0.31</v>
      </c>
      <c r="M7">
        <v>2.1</v>
      </c>
      <c r="N7" t="s">
        <v>25</v>
      </c>
      <c r="O7" t="s">
        <v>16</v>
      </c>
      <c r="P7">
        <f xml:space="preserve"> Table17[[#This Row],[Unit value (USD/unit)]] * (1 + Table17[[#This Row],[Average tariff (estimated) applied by the country (%)]]/100)</f>
        <v>637.10399999999993</v>
      </c>
      <c r="R7" t="s">
        <v>236</v>
      </c>
      <c r="S7" t="s">
        <v>237</v>
      </c>
      <c r="T7" t="s">
        <v>238</v>
      </c>
      <c r="U7" t="s">
        <v>239</v>
      </c>
      <c r="V7" t="s">
        <v>241</v>
      </c>
      <c r="W7" t="s">
        <v>240</v>
      </c>
      <c r="X7" t="s">
        <v>247</v>
      </c>
      <c r="Y7" t="s">
        <v>251</v>
      </c>
    </row>
    <row r="8" spans="1:25">
      <c r="A8" t="s">
        <v>26</v>
      </c>
      <c r="B8" t="s">
        <v>27</v>
      </c>
      <c r="C8">
        <v>33727</v>
      </c>
      <c r="D8">
        <v>-27402</v>
      </c>
      <c r="E8">
        <v>52012</v>
      </c>
      <c r="F8">
        <v>648</v>
      </c>
      <c r="G8">
        <v>-7</v>
      </c>
      <c r="H8">
        <v>-12</v>
      </c>
      <c r="I8">
        <v>-15</v>
      </c>
      <c r="J8">
        <v>3.3</v>
      </c>
      <c r="K8">
        <v>1880</v>
      </c>
      <c r="L8">
        <v>0.42</v>
      </c>
      <c r="M8">
        <v>4.0999999999999996</v>
      </c>
      <c r="N8" t="s">
        <v>27</v>
      </c>
      <c r="O8" t="s">
        <v>16</v>
      </c>
      <c r="P8">
        <f xml:space="preserve"> Table17[[#This Row],[Unit value (USD/unit)]] * (1 + Table17[[#This Row],[Average tariff (estimated) applied by the country (%)]]/100)</f>
        <v>674.56799999999998</v>
      </c>
      <c r="R8" s="9" t="s">
        <v>29</v>
      </c>
      <c r="S8">
        <f>VLOOKUP(Table7[[#This Row],[Compitatores]],A2:O171,11,0)</f>
        <v>863</v>
      </c>
      <c r="T8">
        <f>VLOOKUP(Table7[[#This Row],[Compitatores]],A2:O171,6,0)</f>
        <v>587</v>
      </c>
      <c r="U8">
        <f>VLOOKUP(Table7[[#This Row],[Compitatores]],A2:O171,13,0)</f>
        <v>1.8</v>
      </c>
      <c r="V8">
        <f>Table7[[#This Row],[Price]]*(1+Table7[[#This Row],[Tariff]]/100)</f>
        <v>597.56600000000003</v>
      </c>
      <c r="W8" t="str">
        <f>IF(Table7[[#This Row],[Tariff]]&lt;=$S$24*0.8,"Low",
 IF(Table7[[#This Row],[Tariff]]&lt;=$S$24*1.2,"Moderate","High"))</f>
        <v>Moderate</v>
      </c>
      <c r="X8" t="str">
        <f>IF(Table7[[#This Row],[Total Price ]]&lt;=$S$23*0.8,"Low",
 IF(Table7[[#This Row],[Total Price ]]&lt;=$S$23*1.2,"Moderate","High"))</f>
        <v>Low</v>
      </c>
      <c r="Y8" t="str">
        <f>IF(Table7[[#This Row],[Tariff]]&lt;=1.8,"Yes","No")</f>
        <v>Yes</v>
      </c>
    </row>
    <row r="9" spans="1:25">
      <c r="A9" t="s">
        <v>28</v>
      </c>
      <c r="B9" t="s">
        <v>15</v>
      </c>
      <c r="C9">
        <v>33184</v>
      </c>
      <c r="D9">
        <v>-29494</v>
      </c>
      <c r="E9">
        <v>52702</v>
      </c>
      <c r="F9">
        <v>630</v>
      </c>
      <c r="G9">
        <v>43</v>
      </c>
      <c r="H9">
        <v>44</v>
      </c>
      <c r="I9">
        <v>19</v>
      </c>
      <c r="J9">
        <v>3.3</v>
      </c>
      <c r="K9">
        <v>789</v>
      </c>
      <c r="L9">
        <v>0.37</v>
      </c>
      <c r="M9">
        <v>1.1000000000000001</v>
      </c>
      <c r="N9" t="s">
        <v>15</v>
      </c>
      <c r="O9" t="s">
        <v>16</v>
      </c>
      <c r="P9">
        <f xml:space="preserve"> Table17[[#This Row],[Unit value (USD/unit)]] * (1 + Table17[[#This Row],[Average tariff (estimated) applied by the country (%)]]/100)</f>
        <v>636.92999999999995</v>
      </c>
      <c r="R9" s="10" t="s">
        <v>43</v>
      </c>
      <c r="S9">
        <f>VLOOKUP(Table7[[#This Row],[Compitatores]],A3:O172,11,0)</f>
        <v>1616</v>
      </c>
      <c r="T9">
        <f>VLOOKUP(Table7[[#This Row],[Compitatores]],A3:O172,6,0)</f>
        <v>347</v>
      </c>
      <c r="U9">
        <f>VLOOKUP(Table7[[#This Row],[Compitatores]],A3:O172,13,0)</f>
        <v>5.9</v>
      </c>
      <c r="V9">
        <f>Table7[[#This Row],[Price]]*(1+Table7[[#This Row],[Tariff]]/100)</f>
        <v>367.47299999999996</v>
      </c>
      <c r="W9" t="str">
        <f>IF(Table7[[#This Row],[Tariff]]&lt;=$S$24*0.8,"Low",
 IF(Table7[[#This Row],[Tariff]]&lt;=$S$24*1.2,"Moderate","High"))</f>
        <v>High</v>
      </c>
      <c r="X9" t="str">
        <f>IF(Table7[[#This Row],[Total Price ]]&lt;=$S$23*0.8,"Low",
 IF(Table7[[#This Row],[Total Price ]]&lt;=$S$23*1.2,"Moderate","High"))</f>
        <v>Low</v>
      </c>
      <c r="Y9" t="str">
        <f>IF(Table7[[#This Row],[Tariff]]&lt;=1.8,"Yes","No")</f>
        <v>No</v>
      </c>
    </row>
    <row r="10" spans="1:25">
      <c r="A10" t="s">
        <v>29</v>
      </c>
      <c r="B10" t="s">
        <v>15</v>
      </c>
      <c r="C10">
        <v>27445</v>
      </c>
      <c r="D10">
        <v>108092</v>
      </c>
      <c r="E10">
        <v>46793</v>
      </c>
      <c r="F10">
        <v>587</v>
      </c>
      <c r="G10">
        <v>11</v>
      </c>
      <c r="H10">
        <v>15</v>
      </c>
      <c r="I10">
        <v>-11</v>
      </c>
      <c r="J10">
        <v>2.7</v>
      </c>
      <c r="K10">
        <v>863</v>
      </c>
      <c r="L10">
        <v>0.28000000000000003</v>
      </c>
      <c r="M10">
        <v>1.8</v>
      </c>
      <c r="N10" t="s">
        <v>15</v>
      </c>
      <c r="O10" t="s">
        <v>16</v>
      </c>
      <c r="P10">
        <f xml:space="preserve"> Table17[[#This Row],[Unit value (USD/unit)]] * (1 + Table17[[#This Row],[Average tariff (estimated) applied by the country (%)]]/100)</f>
        <v>597.56600000000003</v>
      </c>
      <c r="R10" s="11" t="s">
        <v>20</v>
      </c>
      <c r="S10">
        <f>VLOOKUP(Table7[[#This Row],[Compitatores]],A4:O173,11,0)</f>
        <v>825</v>
      </c>
      <c r="T10">
        <f>VLOOKUP(Table7[[#This Row],[Compitatores]],A4:O173,6,0)</f>
        <v>520</v>
      </c>
      <c r="U10">
        <f>VLOOKUP(Table7[[#This Row],[Compitatores]],A4:O173,13,0)</f>
        <v>1.8</v>
      </c>
      <c r="V10">
        <f>Table7[[#This Row],[Price]]*(1+Table7[[#This Row],[Tariff]]/100)</f>
        <v>529.36</v>
      </c>
      <c r="W10" t="str">
        <f>IF(Table7[[#This Row],[Tariff]]&lt;=$S$24*0.8,"Low",
 IF(Table7[[#This Row],[Tariff]]&lt;=$S$24*1.2,"Moderate","High"))</f>
        <v>Moderate</v>
      </c>
      <c r="X10" t="str">
        <f>IF(Table7[[#This Row],[Total Price ]]&lt;=$S$23*0.8,"Low",
 IF(Table7[[#This Row],[Total Price ]]&lt;=$S$23*1.2,"Moderate","High"))</f>
        <v>Low</v>
      </c>
      <c r="Y10" t="str">
        <f>IF(Table7[[#This Row],[Tariff]]&lt;=1.8,"Yes","No")</f>
        <v>Yes</v>
      </c>
    </row>
    <row r="11" spans="1:25">
      <c r="A11" t="s">
        <v>30</v>
      </c>
      <c r="B11" t="s">
        <v>15</v>
      </c>
      <c r="C11">
        <v>26701</v>
      </c>
      <c r="D11">
        <v>4369</v>
      </c>
      <c r="E11">
        <v>48547</v>
      </c>
      <c r="F11">
        <v>550</v>
      </c>
      <c r="G11">
        <v>13</v>
      </c>
      <c r="H11">
        <v>4</v>
      </c>
      <c r="I11">
        <v>4</v>
      </c>
      <c r="J11">
        <v>2.6</v>
      </c>
      <c r="K11">
        <v>655</v>
      </c>
      <c r="L11">
        <v>0.39</v>
      </c>
      <c r="M11">
        <v>1.8</v>
      </c>
      <c r="N11" t="s">
        <v>15</v>
      </c>
      <c r="O11" t="s">
        <v>16</v>
      </c>
      <c r="P11">
        <f xml:space="preserve"> Table17[[#This Row],[Unit value (USD/unit)]] * (1 + Table17[[#This Row],[Average tariff (estimated) applied by the country (%)]]/100)</f>
        <v>559.9</v>
      </c>
      <c r="R11" s="12" t="s">
        <v>45</v>
      </c>
      <c r="S11">
        <f>VLOOKUP(Table7[[#This Row],[Compitatores]],A5:O174,11,0)</f>
        <v>2454</v>
      </c>
      <c r="T11">
        <f>VLOOKUP(Table7[[#This Row],[Compitatores]],A5:O174,6,0)</f>
        <v>897</v>
      </c>
      <c r="U11">
        <f>VLOOKUP(Table7[[#This Row],[Compitatores]],A5:O174,13,0)</f>
        <v>5.9</v>
      </c>
      <c r="V11">
        <f>Table7[[#This Row],[Price]]*(1+Table7[[#This Row],[Tariff]]/100)</f>
        <v>949.923</v>
      </c>
      <c r="W11" t="str">
        <f>IF(Table7[[#This Row],[Tariff]]&lt;=$S$24*0.8,"Low",
 IF(Table7[[#This Row],[Tariff]]&lt;=$S$24*1.2,"Moderate","High"))</f>
        <v>High</v>
      </c>
      <c r="X11" t="str">
        <f>IF(Table7[[#This Row],[Total Price ]]&lt;=$S$23*0.8,"Low",
 IF(Table7[[#This Row],[Total Price ]]&lt;=$S$23*1.2,"Moderate","High"))</f>
        <v>High</v>
      </c>
      <c r="Y11" t="str">
        <f>IF(Table7[[#This Row],[Tariff]]&lt;=1.8,"Yes","No")</f>
        <v>No</v>
      </c>
    </row>
    <row r="12" spans="1:25">
      <c r="A12" t="s">
        <v>31</v>
      </c>
      <c r="B12" t="s">
        <v>15</v>
      </c>
      <c r="C12">
        <v>26482</v>
      </c>
      <c r="D12">
        <v>69914</v>
      </c>
      <c r="E12">
        <v>46337</v>
      </c>
      <c r="F12">
        <v>572</v>
      </c>
      <c r="G12">
        <v>2</v>
      </c>
      <c r="H12">
        <v>-8</v>
      </c>
      <c r="I12">
        <v>-12</v>
      </c>
      <c r="J12">
        <v>2.6</v>
      </c>
      <c r="K12">
        <v>585</v>
      </c>
      <c r="L12">
        <v>0.47</v>
      </c>
      <c r="M12">
        <v>1.8</v>
      </c>
      <c r="N12" t="s">
        <v>15</v>
      </c>
      <c r="O12" t="s">
        <v>16</v>
      </c>
      <c r="P12">
        <f xml:space="preserve"> Table17[[#This Row],[Unit value (USD/unit)]] * (1 + Table17[[#This Row],[Average tariff (estimated) applied by the country (%)]]/100)</f>
        <v>582.29600000000005</v>
      </c>
      <c r="R12" s="13" t="s">
        <v>48</v>
      </c>
      <c r="S12">
        <f>VLOOKUP(Table7[[#This Row],[Compitatores]],A6:O175,11,0)</f>
        <v>2489</v>
      </c>
      <c r="T12">
        <f>VLOOKUP(Table7[[#This Row],[Compitatores]],A6:O175,6,0)</f>
        <v>537</v>
      </c>
      <c r="U12">
        <f>VLOOKUP(Table7[[#This Row],[Compitatores]],A6:O175,13,0)</f>
        <v>2.7</v>
      </c>
      <c r="V12">
        <f>Table7[[#This Row],[Price]]*(1+Table7[[#This Row],[Tariff]]/100)</f>
        <v>551.49899999999991</v>
      </c>
      <c r="W12" t="str">
        <f>IF(Table7[[#This Row],[Tariff]]&lt;=$S$24*0.8,"Low",
 IF(Table7[[#This Row],[Tariff]]&lt;=$S$24*1.2,"Moderate","High"))</f>
        <v>High</v>
      </c>
      <c r="X12" t="str">
        <f>IF(Table7[[#This Row],[Total Price ]]&lt;=$S$23*0.8,"Low",
 IF(Table7[[#This Row],[Total Price ]]&lt;=$S$23*1.2,"Moderate","High"))</f>
        <v>Low</v>
      </c>
      <c r="Y12" t="str">
        <f>IF(Table7[[#This Row],[Tariff]]&lt;=1.8,"Yes","No")</f>
        <v>No</v>
      </c>
    </row>
    <row r="13" spans="1:25">
      <c r="A13" t="s">
        <v>32</v>
      </c>
      <c r="B13" t="s">
        <v>15</v>
      </c>
      <c r="C13">
        <v>24830</v>
      </c>
      <c r="D13">
        <v>-24572</v>
      </c>
      <c r="E13">
        <v>17230</v>
      </c>
      <c r="F13">
        <v>1441</v>
      </c>
      <c r="G13">
        <v>17</v>
      </c>
      <c r="H13">
        <v>-3</v>
      </c>
      <c r="I13">
        <v>-4</v>
      </c>
      <c r="J13">
        <v>2.4</v>
      </c>
      <c r="K13">
        <v>2900</v>
      </c>
      <c r="L13">
        <v>0.5</v>
      </c>
      <c r="M13">
        <v>1.8</v>
      </c>
      <c r="N13" t="s">
        <v>15</v>
      </c>
      <c r="O13" t="s">
        <v>16</v>
      </c>
      <c r="P13">
        <f xml:space="preserve"> Table17[[#This Row],[Unit value (USD/unit)]] * (1 + Table17[[#This Row],[Average tariff (estimated) applied by the country (%)]]/100)</f>
        <v>1466.9380000000001</v>
      </c>
      <c r="R13" s="14" t="s">
        <v>96</v>
      </c>
      <c r="S13">
        <f>VLOOKUP(Table7[[#This Row],[Compitatores]],A7:O176,11,0)</f>
        <v>6019</v>
      </c>
      <c r="T13">
        <f>VLOOKUP(Table7[[#This Row],[Compitatores]],A7:O176,6,0)</f>
        <v>1686</v>
      </c>
      <c r="U13">
        <f>VLOOKUP(Table7[[#This Row],[Compitatores]],A7:O176,13,0)</f>
        <v>3.1</v>
      </c>
      <c r="V13">
        <f>Table7[[#This Row],[Price]]*(1+Table7[[#This Row],[Tariff]]/100)</f>
        <v>1738.2659999999998</v>
      </c>
      <c r="W13" t="str">
        <f>IF(Table7[[#This Row],[Tariff]]&lt;=$S$24*0.8,"Low",
 IF(Table7[[#This Row],[Tariff]]&lt;=$S$24*1.2,"Moderate","High"))</f>
        <v>High</v>
      </c>
      <c r="X13" t="str">
        <f>IF(Table7[[#This Row],[Total Price ]]&lt;=$S$23*0.8,"Low",
 IF(Table7[[#This Row],[Total Price ]]&lt;=$S$23*1.2,"Moderate","High"))</f>
        <v>High</v>
      </c>
      <c r="Y13" t="str">
        <f>IF(Table7[[#This Row],[Tariff]]&lt;=1.8,"Yes","No")</f>
        <v>No</v>
      </c>
    </row>
    <row r="14" spans="1:25">
      <c r="A14" t="s">
        <v>33</v>
      </c>
      <c r="B14" t="s">
        <v>18</v>
      </c>
      <c r="C14">
        <v>24112</v>
      </c>
      <c r="D14">
        <v>-23263</v>
      </c>
      <c r="E14">
        <v>44997</v>
      </c>
      <c r="F14">
        <v>536</v>
      </c>
      <c r="G14">
        <v>4</v>
      </c>
      <c r="H14">
        <v>1</v>
      </c>
      <c r="I14">
        <v>6</v>
      </c>
      <c r="J14">
        <v>2.4</v>
      </c>
      <c r="K14">
        <v>1635</v>
      </c>
      <c r="L14">
        <v>1</v>
      </c>
      <c r="M14">
        <v>0</v>
      </c>
      <c r="N14" t="s">
        <v>18</v>
      </c>
      <c r="O14" t="s">
        <v>19</v>
      </c>
      <c r="P14">
        <f xml:space="preserve"> Table17[[#This Row],[Unit value (USD/unit)]] * (1 + Table17[[#This Row],[Average tariff (estimated) applied by the country (%)]]/100)</f>
        <v>536</v>
      </c>
      <c r="R14" s="15" t="s">
        <v>31</v>
      </c>
      <c r="S14">
        <f>VLOOKUP(Table7[[#This Row],[Compitatores]],A8:O177,11,0)</f>
        <v>585</v>
      </c>
      <c r="T14">
        <f>VLOOKUP(Table7[[#This Row],[Compitatores]],A8:O177,6,0)</f>
        <v>572</v>
      </c>
      <c r="U14">
        <f>VLOOKUP(Table7[[#This Row],[Compitatores]],A8:O177,13,0)</f>
        <v>1.8</v>
      </c>
      <c r="V14">
        <f>Table7[[#This Row],[Price]]*(1+Table7[[#This Row],[Tariff]]/100)</f>
        <v>582.29600000000005</v>
      </c>
      <c r="W14" t="str">
        <f>IF(Table7[[#This Row],[Tariff]]&lt;=$S$24*0.8,"Low",
 IF(Table7[[#This Row],[Tariff]]&lt;=$S$24*1.2,"Moderate","High"))</f>
        <v>Moderate</v>
      </c>
      <c r="X14" t="str">
        <f>IF(Table7[[#This Row],[Total Price ]]&lt;=$S$23*0.8,"Low",
 IF(Table7[[#This Row],[Total Price ]]&lt;=$S$23*1.2,"Moderate","High"))</f>
        <v>Low</v>
      </c>
      <c r="Y14" t="str">
        <f>IF(Table7[[#This Row],[Tariff]]&lt;=1.8,"Yes","No")</f>
        <v>Yes</v>
      </c>
    </row>
    <row r="15" spans="1:25">
      <c r="A15" t="s">
        <v>34</v>
      </c>
      <c r="B15" t="s">
        <v>25</v>
      </c>
      <c r="C15">
        <v>22859</v>
      </c>
      <c r="D15">
        <v>-10206</v>
      </c>
      <c r="E15">
        <v>49812</v>
      </c>
      <c r="F15">
        <v>459</v>
      </c>
      <c r="G15">
        <v>11</v>
      </c>
      <c r="H15">
        <v>8</v>
      </c>
      <c r="I15">
        <v>7</v>
      </c>
      <c r="J15">
        <v>2.2000000000000002</v>
      </c>
      <c r="K15">
        <v>3575</v>
      </c>
      <c r="L15">
        <v>0.33</v>
      </c>
      <c r="M15">
        <v>4.5999999999999996</v>
      </c>
      <c r="N15" t="s">
        <v>25</v>
      </c>
      <c r="O15" t="s">
        <v>16</v>
      </c>
      <c r="P15">
        <f xml:space="preserve"> Table17[[#This Row],[Unit value (USD/unit)]] * (1 + Table17[[#This Row],[Average tariff (estimated) applied by the country (%)]]/100)</f>
        <v>480.11400000000003</v>
      </c>
      <c r="R15" s="16" t="s">
        <v>65</v>
      </c>
      <c r="S15">
        <f>VLOOKUP(Table7[[#This Row],[Compitatores]],A9:O178,11,0)</f>
        <v>9298</v>
      </c>
      <c r="T15">
        <f>VLOOKUP(Table7[[#This Row],[Compitatores]],A9:O178,6,0)</f>
        <v>544</v>
      </c>
      <c r="U15">
        <f>VLOOKUP(Table7[[#This Row],[Compitatores]],A9:O178,13,0)</f>
        <v>4.0999999999999996</v>
      </c>
      <c r="V15">
        <f>Table7[[#This Row],[Price]]*(1+Table7[[#This Row],[Tariff]]/100)</f>
        <v>566.30399999999997</v>
      </c>
      <c r="W15" t="str">
        <f>IF(Table7[[#This Row],[Tariff]]&lt;=$S$24*0.8,"Low",
 IF(Table7[[#This Row],[Tariff]]&lt;=$S$24*1.2,"Moderate","High"))</f>
        <v>High</v>
      </c>
      <c r="X15" t="str">
        <f>IF(Table7[[#This Row],[Total Price ]]&lt;=$S$23*0.8,"Low",
 IF(Table7[[#This Row],[Total Price ]]&lt;=$S$23*1.2,"Moderate","High"))</f>
        <v>Low</v>
      </c>
      <c r="Y15" t="str">
        <f>IF(Table7[[#This Row],[Tariff]]&lt;=1.8,"Yes","No")</f>
        <v>No</v>
      </c>
    </row>
    <row r="16" spans="1:25">
      <c r="A16" t="s">
        <v>35</v>
      </c>
      <c r="B16" t="s">
        <v>15</v>
      </c>
      <c r="C16">
        <v>22266</v>
      </c>
      <c r="D16">
        <v>-19119</v>
      </c>
      <c r="E16">
        <v>37739</v>
      </c>
      <c r="F16">
        <v>590</v>
      </c>
      <c r="G16">
        <v>12</v>
      </c>
      <c r="H16">
        <v>4</v>
      </c>
      <c r="I16">
        <v>-1</v>
      </c>
      <c r="J16">
        <v>2.2000000000000002</v>
      </c>
      <c r="K16">
        <v>1604</v>
      </c>
      <c r="L16">
        <v>0.22</v>
      </c>
      <c r="M16">
        <v>1.8</v>
      </c>
      <c r="N16" t="s">
        <v>15</v>
      </c>
      <c r="O16" t="s">
        <v>16</v>
      </c>
      <c r="P16">
        <f xml:space="preserve"> Table17[[#This Row],[Unit value (USD/unit)]] * (1 + Table17[[#This Row],[Average tariff (estimated) applied by the country (%)]]/100)</f>
        <v>600.62</v>
      </c>
      <c r="R16" s="17" t="s">
        <v>22</v>
      </c>
      <c r="S16">
        <f>VLOOKUP(Table7[[#This Row],[Compitatores]],A1:O171,11,0)</f>
        <v>3515</v>
      </c>
      <c r="T16">
        <f>VLOOKUP(Table7[[#This Row],[Compitatores]],A1:O171,6,0)</f>
        <v>618</v>
      </c>
      <c r="U16">
        <f>VLOOKUP(Table7[[#This Row],[Compitatores]],A1:O171,13,0)</f>
        <v>1.8</v>
      </c>
      <c r="V16">
        <f>Table7[[#This Row],[Price]]*(1+Table7[[#This Row],[Tariff]]/100)</f>
        <v>629.12400000000002</v>
      </c>
      <c r="W16" t="str">
        <f>IF(Table7[[#This Row],[Tariff]]&lt;=$S$24*0.8,"Low",
 IF(Table7[[#This Row],[Tariff]]&lt;=$S$24*1.2,"Moderate","High"))</f>
        <v>Moderate</v>
      </c>
      <c r="X16" t="str">
        <f>IF(Table7[[#This Row],[Total Price ]]&lt;=$S$23*0.8,"Low",
 IF(Table7[[#This Row],[Total Price ]]&lt;=$S$23*1.2,"Moderate","High"))</f>
        <v>Moderate</v>
      </c>
      <c r="Y16" t="str">
        <f>IF(Table7[[#This Row],[Tariff]]&lt;=1.8,"Yes","No")</f>
        <v>Yes</v>
      </c>
    </row>
    <row r="17" spans="1:25">
      <c r="A17" t="s">
        <v>36</v>
      </c>
      <c r="B17" t="s">
        <v>25</v>
      </c>
      <c r="C17">
        <v>22002</v>
      </c>
      <c r="D17">
        <v>-9505</v>
      </c>
      <c r="E17">
        <v>27871</v>
      </c>
      <c r="F17">
        <v>789</v>
      </c>
      <c r="G17">
        <v>13</v>
      </c>
      <c r="H17">
        <v>8</v>
      </c>
      <c r="I17">
        <v>12</v>
      </c>
      <c r="J17">
        <v>2.2000000000000002</v>
      </c>
      <c r="K17">
        <v>1722</v>
      </c>
      <c r="L17">
        <v>0.39</v>
      </c>
      <c r="M17">
        <v>0</v>
      </c>
      <c r="N17" t="s">
        <v>25</v>
      </c>
      <c r="O17" t="s">
        <v>16</v>
      </c>
      <c r="P17">
        <f xml:space="preserve"> Table17[[#This Row],[Unit value (USD/unit)]] * (1 + Table17[[#This Row],[Average tariff (estimated) applied by the country (%)]]/100)</f>
        <v>789</v>
      </c>
      <c r="R17" s="18" t="s">
        <v>39</v>
      </c>
      <c r="S17">
        <f>VLOOKUP(Table7[[#This Row],[Compitatores]],A11:O180,11,0)</f>
        <v>1241</v>
      </c>
      <c r="T17">
        <f>VLOOKUP(Table7[[#This Row],[Compitatores]],A11:O180,6,0)</f>
        <v>510</v>
      </c>
      <c r="U17">
        <f>VLOOKUP(Table7[[#This Row],[Compitatores]],A11:O180,13,0)</f>
        <v>1.8</v>
      </c>
      <c r="V17">
        <f>Table7[[#This Row],[Price]]*(1+Table7[[#This Row],[Tariff]]/100)</f>
        <v>519.18000000000006</v>
      </c>
      <c r="W17" t="str">
        <f>IF(Table7[[#This Row],[Tariff]]&lt;=$S$24*0.8,"Low",
 IF(Table7[[#This Row],[Tariff]]&lt;=$S$24*1.2,"Moderate","High"))</f>
        <v>Moderate</v>
      </c>
      <c r="X17" t="str">
        <f>IF(Table7[[#This Row],[Total Price ]]&lt;=$S$23*0.8,"Low",
 IF(Table7[[#This Row],[Total Price ]]&lt;=$S$23*1.2,"Moderate","High"))</f>
        <v>Low</v>
      </c>
      <c r="Y17" t="str">
        <f>IF(Table7[[#This Row],[Tariff]]&lt;=1.8,"Yes","No")</f>
        <v>Yes</v>
      </c>
    </row>
    <row r="18" spans="1:25">
      <c r="A18" t="s">
        <v>37</v>
      </c>
      <c r="B18" t="s">
        <v>38</v>
      </c>
      <c r="C18">
        <v>21184</v>
      </c>
      <c r="D18">
        <v>-20096</v>
      </c>
      <c r="E18">
        <v>48505</v>
      </c>
      <c r="F18">
        <v>437</v>
      </c>
      <c r="G18">
        <v>-3</v>
      </c>
      <c r="H18">
        <v>-6</v>
      </c>
      <c r="I18">
        <v>-11</v>
      </c>
      <c r="J18">
        <v>2.1</v>
      </c>
      <c r="K18">
        <v>4114</v>
      </c>
      <c r="L18">
        <v>0.85</v>
      </c>
      <c r="M18">
        <v>3.2</v>
      </c>
      <c r="N18" t="s">
        <v>38</v>
      </c>
      <c r="O18" t="s">
        <v>19</v>
      </c>
      <c r="P18">
        <f xml:space="preserve"> Table17[[#This Row],[Unit value (USD/unit)]] * (1 + Table17[[#This Row],[Average tariff (estimated) applied by the country (%)]]/100)</f>
        <v>450.98400000000004</v>
      </c>
      <c r="R18" s="19" t="s">
        <v>14</v>
      </c>
      <c r="S18">
        <f>VLOOKUP(Table7[[#This Row],[Compitatores]],A2:O171,11,0)</f>
        <v>660</v>
      </c>
      <c r="T18">
        <f>VLOOKUP(Table7[[#This Row],[Compitatores]],A1:O171,6,0)</f>
        <v>268</v>
      </c>
      <c r="U18">
        <f>VLOOKUP(Table7[[#This Row],[Compitatores]],A1:O171,13,0)</f>
        <v>1.8</v>
      </c>
      <c r="V18">
        <f>Table7[[#This Row],[Price]]*(1+Table7[[#This Row],[Tariff]]/100)</f>
        <v>272.82400000000001</v>
      </c>
      <c r="W18" t="str">
        <f>IF(Table7[[#This Row],[Tariff]]&lt;=$S$24*0.8,"Low",
 IF(Table7[[#This Row],[Tariff]]&lt;=$S$24*1.2,"Moderate","High"))</f>
        <v>Moderate</v>
      </c>
      <c r="X18" t="str">
        <f>IF(Table7[[#This Row],[Total Price ]]&lt;=$S$23*0.8,"Low",
 IF(Table7[[#This Row],[Total Price ]]&lt;=$S$23*1.2,"Moderate","High"))</f>
        <v>Low</v>
      </c>
      <c r="Y18" t="str">
        <f>IF(Table7[[#This Row],[Tariff]]&lt;=1.8,"Yes","No")</f>
        <v>Yes</v>
      </c>
    </row>
    <row r="19" spans="1:25">
      <c r="A19" t="s">
        <v>39</v>
      </c>
      <c r="B19" t="s">
        <v>15</v>
      </c>
      <c r="C19">
        <v>19724</v>
      </c>
      <c r="D19">
        <v>-10783</v>
      </c>
      <c r="E19">
        <v>38675</v>
      </c>
      <c r="F19">
        <v>510</v>
      </c>
      <c r="G19">
        <v>11</v>
      </c>
      <c r="H19">
        <v>4</v>
      </c>
      <c r="I19">
        <v>26</v>
      </c>
      <c r="J19">
        <v>1.9</v>
      </c>
      <c r="K19">
        <v>1241</v>
      </c>
      <c r="L19">
        <v>0.2</v>
      </c>
      <c r="M19">
        <v>1.8</v>
      </c>
      <c r="N19" t="s">
        <v>15</v>
      </c>
      <c r="O19" t="s">
        <v>16</v>
      </c>
      <c r="P19">
        <f xml:space="preserve"> Table17[[#This Row],[Unit value (USD/unit)]] * (1 + Table17[[#This Row],[Average tariff (estimated) applied by the country (%)]]/100)</f>
        <v>519.18000000000006</v>
      </c>
      <c r="R19" s="5" t="s">
        <v>73</v>
      </c>
      <c r="S19">
        <f>VLOOKUP(Table7[[#This Row],[Compitatores]],A1:O170,11,0)</f>
        <v>2776</v>
      </c>
      <c r="T19">
        <f>VLOOKUP(Table7[[#This Row],[Compitatores]],A13:O182,6,0)</f>
        <v>610</v>
      </c>
      <c r="U19">
        <f>VLOOKUP(Table7[[#This Row],[Compitatores]],A13:O182,13,0)</f>
        <v>0</v>
      </c>
      <c r="V19">
        <f>Table7[[#This Row],[Price]]*(1+Table7[[#This Row],[Tariff]]/100)</f>
        <v>610</v>
      </c>
      <c r="W19" t="str">
        <f>IF(Table7[[#This Row],[Tariff]]&lt;=$S$24*0.8,"Low",
 IF(Table7[[#This Row],[Tariff]]&lt;=$S$24*1.2,"Moderate","High"))</f>
        <v>Low</v>
      </c>
      <c r="X19" t="str">
        <f>IF(Table7[[#This Row],[Total Price ]]&lt;=$S$23*0.8,"Low",
 IF(Table7[[#This Row],[Total Price ]]&lt;=$S$23*1.2,"Moderate","High"))</f>
        <v>Low</v>
      </c>
      <c r="Y19" t="str">
        <f>IF(Table7[[#This Row],[Tariff]]&lt;=1.8,"Yes","No")</f>
        <v>Yes</v>
      </c>
    </row>
    <row r="20" spans="1:25">
      <c r="A20" t="s">
        <v>40</v>
      </c>
      <c r="B20" t="s">
        <v>15</v>
      </c>
      <c r="C20">
        <v>19180</v>
      </c>
      <c r="D20">
        <v>-18583</v>
      </c>
      <c r="E20">
        <v>39958</v>
      </c>
      <c r="F20">
        <v>480</v>
      </c>
      <c r="G20">
        <v>7</v>
      </c>
      <c r="H20">
        <v>4</v>
      </c>
      <c r="I20">
        <v>11</v>
      </c>
      <c r="J20">
        <v>1.9</v>
      </c>
      <c r="K20">
        <v>499</v>
      </c>
      <c r="L20">
        <v>0.61</v>
      </c>
      <c r="M20">
        <v>1.8</v>
      </c>
      <c r="N20" t="s">
        <v>15</v>
      </c>
      <c r="O20" t="s">
        <v>19</v>
      </c>
      <c r="P20">
        <f xml:space="preserve"> Table17[[#This Row],[Unit value (USD/unit)]] * (1 + Table17[[#This Row],[Average tariff (estimated) applied by the country (%)]]/100)</f>
        <v>488.64</v>
      </c>
    </row>
    <row r="21" spans="1:25">
      <c r="A21" t="s">
        <v>41</v>
      </c>
      <c r="B21" t="s">
        <v>38</v>
      </c>
      <c r="C21">
        <v>17334</v>
      </c>
      <c r="D21">
        <v>-17327</v>
      </c>
      <c r="E21">
        <v>28472</v>
      </c>
      <c r="F21">
        <v>609</v>
      </c>
      <c r="G21">
        <v>11</v>
      </c>
      <c r="H21">
        <v>3</v>
      </c>
      <c r="I21">
        <v>-9</v>
      </c>
      <c r="J21">
        <v>1.7</v>
      </c>
      <c r="K21">
        <v>5979</v>
      </c>
      <c r="L21">
        <v>0.56000000000000005</v>
      </c>
      <c r="M21">
        <v>0</v>
      </c>
      <c r="N21" t="s">
        <v>38</v>
      </c>
      <c r="O21" t="s">
        <v>19</v>
      </c>
      <c r="P21">
        <f xml:space="preserve"> Table17[[#This Row],[Unit value (USD/unit)]] * (1 + Table17[[#This Row],[Average tariff (estimated) applied by the country (%)]]/100)</f>
        <v>609</v>
      </c>
      <c r="R21" t="s">
        <v>245</v>
      </c>
      <c r="S21">
        <f>MEDIAN(Table17[Unit value (USD/unit)])</f>
        <v>748.5</v>
      </c>
    </row>
    <row r="22" spans="1:25">
      <c r="A22" t="s">
        <v>42</v>
      </c>
      <c r="B22" t="s">
        <v>38</v>
      </c>
      <c r="C22">
        <v>17123</v>
      </c>
      <c r="D22">
        <v>-17123</v>
      </c>
      <c r="E22">
        <v>24420</v>
      </c>
      <c r="F22">
        <v>701</v>
      </c>
      <c r="G22">
        <v>0</v>
      </c>
      <c r="H22">
        <v>-7</v>
      </c>
      <c r="I22">
        <v>-25</v>
      </c>
      <c r="J22">
        <v>1.7</v>
      </c>
      <c r="K22">
        <v>3340</v>
      </c>
      <c r="L22">
        <v>0.65</v>
      </c>
      <c r="M22">
        <v>9.5</v>
      </c>
      <c r="N22" t="s">
        <v>38</v>
      </c>
      <c r="O22" t="s">
        <v>19</v>
      </c>
      <c r="P22">
        <f xml:space="preserve"> Table17[[#This Row],[Unit value (USD/unit)]] * (1 + Table17[[#This Row],[Average tariff (estimated) applied by the country (%)]]/100)</f>
        <v>767.59500000000003</v>
      </c>
      <c r="R22" t="s">
        <v>246</v>
      </c>
      <c r="S22">
        <f>MEDIAN(Table17[Average tariff (estimated) applied by the country (%)])</f>
        <v>1.8</v>
      </c>
    </row>
    <row r="23" spans="1:25">
      <c r="A23" t="s">
        <v>43</v>
      </c>
      <c r="B23" t="s">
        <v>44</v>
      </c>
      <c r="C23">
        <v>16016</v>
      </c>
      <c r="D23">
        <v>-4412</v>
      </c>
      <c r="E23">
        <v>46171</v>
      </c>
      <c r="F23">
        <v>347</v>
      </c>
      <c r="G23">
        <v>3</v>
      </c>
      <c r="H23">
        <v>8</v>
      </c>
      <c r="I23">
        <v>-4</v>
      </c>
      <c r="J23">
        <v>1.6</v>
      </c>
      <c r="K23">
        <v>1616</v>
      </c>
      <c r="L23">
        <v>0.67</v>
      </c>
      <c r="M23">
        <v>5.9</v>
      </c>
      <c r="N23" t="s">
        <v>44</v>
      </c>
      <c r="O23" t="s">
        <v>19</v>
      </c>
      <c r="P23">
        <f xml:space="preserve"> Table17[[#This Row],[Unit value (USD/unit)]] * (1 + Table17[[#This Row],[Average tariff (estimated) applied by the country (%)]]/100)</f>
        <v>367.47299999999996</v>
      </c>
      <c r="R23" t="s">
        <v>249</v>
      </c>
      <c r="S23">
        <f>MEDIAN(Table17[Total Price])</f>
        <v>767.94550000000004</v>
      </c>
    </row>
    <row r="24" spans="1:25">
      <c r="A24" t="s">
        <v>45</v>
      </c>
      <c r="B24" t="s">
        <v>27</v>
      </c>
      <c r="C24">
        <v>15912</v>
      </c>
      <c r="D24">
        <v>-5068</v>
      </c>
      <c r="E24">
        <v>17749</v>
      </c>
      <c r="F24">
        <v>897</v>
      </c>
      <c r="G24">
        <v>-20</v>
      </c>
      <c r="H24">
        <v>-23</v>
      </c>
      <c r="I24">
        <v>-7</v>
      </c>
      <c r="J24">
        <v>1.6</v>
      </c>
      <c r="K24">
        <v>2454</v>
      </c>
      <c r="L24">
        <v>0.37</v>
      </c>
      <c r="M24">
        <v>5.9</v>
      </c>
      <c r="N24" t="s">
        <v>27</v>
      </c>
      <c r="O24" t="s">
        <v>16</v>
      </c>
      <c r="P24">
        <f xml:space="preserve"> Table17[[#This Row],[Unit value (USD/unit)]] * (1 + Table17[[#This Row],[Average tariff (estimated) applied by the country (%)]]/100)</f>
        <v>949.923</v>
      </c>
      <c r="R24" t="s">
        <v>250</v>
      </c>
      <c r="S24">
        <f>MEDIAN(Table17[Average tariff (estimated) applied by the country (%)])</f>
        <v>1.8</v>
      </c>
    </row>
    <row r="25" spans="1:25">
      <c r="A25" t="s">
        <v>46</v>
      </c>
      <c r="B25" t="s">
        <v>15</v>
      </c>
      <c r="C25">
        <v>15121</v>
      </c>
      <c r="D25">
        <v>37147</v>
      </c>
      <c r="E25">
        <v>42683</v>
      </c>
      <c r="F25">
        <v>354</v>
      </c>
      <c r="G25">
        <v>-4</v>
      </c>
      <c r="H25">
        <v>0</v>
      </c>
      <c r="I25">
        <v>30</v>
      </c>
      <c r="J25">
        <v>1.5</v>
      </c>
      <c r="K25">
        <v>585</v>
      </c>
      <c r="L25">
        <v>0.53</v>
      </c>
      <c r="M25">
        <v>1.8</v>
      </c>
      <c r="N25" t="s">
        <v>15</v>
      </c>
      <c r="O25" t="s">
        <v>19</v>
      </c>
      <c r="P25">
        <f xml:space="preserve"> Table17[[#This Row],[Unit value (USD/unit)]] * (1 + Table17[[#This Row],[Average tariff (estimated) applied by the country (%)]]/100)</f>
        <v>360.37200000000001</v>
      </c>
    </row>
    <row r="26" spans="1:25">
      <c r="A26" t="s">
        <v>47</v>
      </c>
      <c r="B26" t="s">
        <v>15</v>
      </c>
      <c r="C26">
        <v>14334</v>
      </c>
      <c r="D26">
        <v>-12728</v>
      </c>
      <c r="E26">
        <v>18980</v>
      </c>
      <c r="F26">
        <v>755</v>
      </c>
      <c r="G26">
        <v>5</v>
      </c>
      <c r="H26">
        <v>-3</v>
      </c>
      <c r="I26">
        <v>-18</v>
      </c>
      <c r="J26">
        <v>1.4</v>
      </c>
      <c r="K26">
        <v>600</v>
      </c>
      <c r="L26">
        <v>0.32</v>
      </c>
      <c r="M26">
        <v>0</v>
      </c>
      <c r="N26" t="s">
        <v>15</v>
      </c>
      <c r="O26" t="s">
        <v>16</v>
      </c>
      <c r="P26">
        <f xml:space="preserve"> Table17[[#This Row],[Unit value (USD/unit)]] * (1 + Table17[[#This Row],[Average tariff (estimated) applied by the country (%)]]/100)</f>
        <v>755</v>
      </c>
    </row>
    <row r="27" spans="1:25">
      <c r="A27" t="s">
        <v>48</v>
      </c>
      <c r="B27" t="s">
        <v>23</v>
      </c>
      <c r="C27">
        <v>13886</v>
      </c>
      <c r="D27">
        <v>-784</v>
      </c>
      <c r="E27">
        <v>25858</v>
      </c>
      <c r="F27">
        <v>537</v>
      </c>
      <c r="G27">
        <v>-4</v>
      </c>
      <c r="H27">
        <v>4</v>
      </c>
      <c r="I27">
        <v>-13</v>
      </c>
      <c r="J27">
        <v>1.4</v>
      </c>
      <c r="K27">
        <v>2489</v>
      </c>
      <c r="L27">
        <v>0.46</v>
      </c>
      <c r="M27">
        <v>2.7</v>
      </c>
      <c r="N27" t="s">
        <v>23</v>
      </c>
      <c r="O27" t="s">
        <v>16</v>
      </c>
      <c r="P27">
        <f xml:space="preserve"> Table17[[#This Row],[Unit value (USD/unit)]] * (1 + Table17[[#This Row],[Average tariff (estimated) applied by the country (%)]]/100)</f>
        <v>551.49899999999991</v>
      </c>
    </row>
    <row r="28" spans="1:25">
      <c r="A28" t="s">
        <v>49</v>
      </c>
      <c r="B28" t="s">
        <v>25</v>
      </c>
      <c r="C28">
        <v>13109</v>
      </c>
      <c r="D28">
        <v>-12460</v>
      </c>
      <c r="E28">
        <v>19624</v>
      </c>
      <c r="F28">
        <v>668</v>
      </c>
      <c r="G28">
        <v>2</v>
      </c>
      <c r="H28">
        <v>-3</v>
      </c>
      <c r="I28">
        <v>-17</v>
      </c>
      <c r="J28">
        <v>1.3</v>
      </c>
      <c r="K28">
        <v>2721</v>
      </c>
      <c r="L28">
        <v>0.22</v>
      </c>
      <c r="M28">
        <v>0</v>
      </c>
      <c r="N28" t="s">
        <v>25</v>
      </c>
      <c r="O28" t="s">
        <v>16</v>
      </c>
      <c r="P28">
        <f xml:space="preserve"> Table17[[#This Row],[Unit value (USD/unit)]] * (1 + Table17[[#This Row],[Average tariff (estimated) applied by the country (%)]]/100)</f>
        <v>668</v>
      </c>
    </row>
    <row r="29" spans="1:25">
      <c r="A29" t="s">
        <v>50</v>
      </c>
      <c r="B29" t="s">
        <v>38</v>
      </c>
      <c r="C29">
        <v>12760</v>
      </c>
      <c r="D29">
        <v>-12713</v>
      </c>
      <c r="E29">
        <v>21046</v>
      </c>
      <c r="F29">
        <v>606</v>
      </c>
      <c r="G29">
        <v>2</v>
      </c>
      <c r="H29">
        <v>-3</v>
      </c>
      <c r="I29">
        <v>-8</v>
      </c>
      <c r="J29">
        <v>1.3</v>
      </c>
      <c r="K29">
        <v>5022</v>
      </c>
      <c r="L29">
        <v>0.61</v>
      </c>
      <c r="M29">
        <v>0</v>
      </c>
      <c r="N29" t="s">
        <v>38</v>
      </c>
      <c r="O29" t="s">
        <v>19</v>
      </c>
      <c r="P29">
        <f xml:space="preserve"> Table17[[#This Row],[Unit value (USD/unit)]] * (1 + Table17[[#This Row],[Average tariff (estimated) applied by the country (%)]]/100)</f>
        <v>606</v>
      </c>
    </row>
    <row r="30" spans="1:25">
      <c r="A30" t="s">
        <v>51</v>
      </c>
      <c r="B30" t="s">
        <v>18</v>
      </c>
      <c r="C30">
        <v>11868</v>
      </c>
      <c r="D30">
        <v>31469</v>
      </c>
      <c r="E30">
        <v>6416</v>
      </c>
      <c r="F30">
        <v>1850</v>
      </c>
      <c r="G30">
        <v>-7</v>
      </c>
      <c r="H30">
        <v>-18</v>
      </c>
      <c r="I30">
        <v>5</v>
      </c>
      <c r="J30">
        <v>1.2</v>
      </c>
      <c r="K30">
        <v>2323</v>
      </c>
      <c r="L30">
        <v>0.65</v>
      </c>
      <c r="M30">
        <v>0.3</v>
      </c>
      <c r="N30" t="s">
        <v>18</v>
      </c>
      <c r="O30" t="s">
        <v>19</v>
      </c>
      <c r="P30">
        <f xml:space="preserve"> Table17[[#This Row],[Unit value (USD/unit)]] * (1 + Table17[[#This Row],[Average tariff (estimated) applied by the country (%)]]/100)</f>
        <v>1855.5499999999997</v>
      </c>
    </row>
    <row r="31" spans="1:25">
      <c r="A31" t="s">
        <v>52</v>
      </c>
      <c r="B31" t="s">
        <v>15</v>
      </c>
      <c r="C31">
        <v>11640</v>
      </c>
      <c r="D31">
        <v>-6995</v>
      </c>
      <c r="E31">
        <v>25554</v>
      </c>
      <c r="F31">
        <v>456</v>
      </c>
      <c r="G31">
        <v>10</v>
      </c>
      <c r="H31">
        <v>5</v>
      </c>
      <c r="I31">
        <v>-14</v>
      </c>
      <c r="J31">
        <v>1.1000000000000001</v>
      </c>
      <c r="K31">
        <v>836</v>
      </c>
      <c r="L31">
        <v>0.23</v>
      </c>
      <c r="M31">
        <v>1.8</v>
      </c>
      <c r="N31" t="s">
        <v>15</v>
      </c>
      <c r="O31" t="s">
        <v>16</v>
      </c>
      <c r="P31">
        <f xml:space="preserve"> Table17[[#This Row],[Unit value (USD/unit)]] * (1 + Table17[[#This Row],[Average tariff (estimated) applied by the country (%)]]/100)</f>
        <v>464.20800000000003</v>
      </c>
    </row>
    <row r="32" spans="1:25">
      <c r="A32" t="s">
        <v>53</v>
      </c>
      <c r="B32" t="s">
        <v>27</v>
      </c>
      <c r="C32">
        <v>10298</v>
      </c>
      <c r="D32">
        <v>6183</v>
      </c>
      <c r="E32">
        <v>23294</v>
      </c>
      <c r="F32">
        <v>442</v>
      </c>
      <c r="G32">
        <v>-1</v>
      </c>
      <c r="H32">
        <v>3</v>
      </c>
      <c r="I32">
        <v>8</v>
      </c>
      <c r="J32">
        <v>1</v>
      </c>
      <c r="K32">
        <v>1338</v>
      </c>
      <c r="L32">
        <v>0.75</v>
      </c>
      <c r="M32">
        <v>0.9</v>
      </c>
      <c r="N32" t="s">
        <v>27</v>
      </c>
      <c r="O32" t="s">
        <v>19</v>
      </c>
      <c r="P32">
        <f xml:space="preserve"> Table17[[#This Row],[Unit value (USD/unit)]] * (1 + Table17[[#This Row],[Average tariff (estimated) applied by the country (%)]]/100)</f>
        <v>445.97799999999995</v>
      </c>
    </row>
    <row r="33" spans="1:16">
      <c r="A33" t="s">
        <v>54</v>
      </c>
      <c r="B33" t="s">
        <v>38</v>
      </c>
      <c r="C33">
        <v>9890</v>
      </c>
      <c r="D33">
        <v>-9497</v>
      </c>
      <c r="E33">
        <v>18215</v>
      </c>
      <c r="F33">
        <v>543</v>
      </c>
      <c r="G33">
        <v>3</v>
      </c>
      <c r="H33">
        <v>3</v>
      </c>
      <c r="I33">
        <v>-51</v>
      </c>
      <c r="J33">
        <v>1</v>
      </c>
      <c r="K33">
        <v>7679</v>
      </c>
      <c r="L33">
        <v>0.51</v>
      </c>
      <c r="M33">
        <v>0</v>
      </c>
      <c r="N33" t="s">
        <v>38</v>
      </c>
      <c r="O33" t="s">
        <v>19</v>
      </c>
      <c r="P33">
        <f xml:space="preserve"> Table17[[#This Row],[Unit value (USD/unit)]] * (1 + Table17[[#This Row],[Average tariff (estimated) applied by the country (%)]]/100)</f>
        <v>543</v>
      </c>
    </row>
    <row r="34" spans="1:16">
      <c r="A34" t="s">
        <v>55</v>
      </c>
      <c r="B34" t="s">
        <v>15</v>
      </c>
      <c r="C34">
        <v>9204</v>
      </c>
      <c r="D34">
        <v>-5721</v>
      </c>
      <c r="E34">
        <v>40368</v>
      </c>
      <c r="F34">
        <v>228</v>
      </c>
      <c r="G34">
        <v>17</v>
      </c>
      <c r="H34">
        <v>4</v>
      </c>
      <c r="I34">
        <v>-71</v>
      </c>
      <c r="J34">
        <v>0.9</v>
      </c>
      <c r="K34">
        <v>4037</v>
      </c>
      <c r="L34">
        <v>0.22</v>
      </c>
      <c r="M34">
        <v>4.8</v>
      </c>
      <c r="N34" t="s">
        <v>15</v>
      </c>
      <c r="O34" t="s">
        <v>16</v>
      </c>
      <c r="P34">
        <f xml:space="preserve"> Table17[[#This Row],[Unit value (USD/unit)]] * (1 + Table17[[#This Row],[Average tariff (estimated) applied by the country (%)]]/100)</f>
        <v>238.94400000000002</v>
      </c>
    </row>
    <row r="35" spans="1:16">
      <c r="A35" t="s">
        <v>56</v>
      </c>
      <c r="B35" t="s">
        <v>25</v>
      </c>
      <c r="C35">
        <v>9200</v>
      </c>
      <c r="D35">
        <v>-9200</v>
      </c>
      <c r="E35">
        <v>18062</v>
      </c>
      <c r="F35">
        <v>509</v>
      </c>
      <c r="G35">
        <v>22</v>
      </c>
      <c r="H35">
        <v>20</v>
      </c>
      <c r="I35">
        <v>10</v>
      </c>
      <c r="J35">
        <v>0.9</v>
      </c>
      <c r="K35">
        <v>2675</v>
      </c>
      <c r="L35">
        <v>0.42</v>
      </c>
      <c r="M35">
        <v>2.7</v>
      </c>
      <c r="N35" t="s">
        <v>25</v>
      </c>
      <c r="O35" t="s">
        <v>16</v>
      </c>
      <c r="P35">
        <f xml:space="preserve"> Table17[[#This Row],[Unit value (USD/unit)]] * (1 + Table17[[#This Row],[Average tariff (estimated) applied by the country (%)]]/100)</f>
        <v>522.74299999999994</v>
      </c>
    </row>
    <row r="36" spans="1:16">
      <c r="A36" t="s">
        <v>57</v>
      </c>
      <c r="B36" t="s">
        <v>58</v>
      </c>
      <c r="C36">
        <v>8648</v>
      </c>
      <c r="D36">
        <v>-5223</v>
      </c>
      <c r="E36">
        <v>17053</v>
      </c>
      <c r="F36">
        <v>507</v>
      </c>
      <c r="G36">
        <v>27</v>
      </c>
      <c r="H36">
        <v>24</v>
      </c>
      <c r="I36">
        <v>-5</v>
      </c>
      <c r="J36">
        <v>0.8</v>
      </c>
      <c r="K36">
        <v>7318</v>
      </c>
      <c r="L36">
        <v>0.24</v>
      </c>
      <c r="M36">
        <v>3.1</v>
      </c>
      <c r="N36" t="s">
        <v>58</v>
      </c>
      <c r="O36" t="s">
        <v>16</v>
      </c>
      <c r="P36">
        <f xml:space="preserve"> Table17[[#This Row],[Unit value (USD/unit)]] * (1 + Table17[[#This Row],[Average tariff (estimated) applied by the country (%)]]/100)</f>
        <v>522.71699999999998</v>
      </c>
    </row>
    <row r="37" spans="1:16">
      <c r="A37" t="s">
        <v>59</v>
      </c>
      <c r="B37" t="s">
        <v>23</v>
      </c>
      <c r="C37">
        <v>8513</v>
      </c>
      <c r="D37">
        <v>-8513</v>
      </c>
      <c r="E37">
        <v>14991</v>
      </c>
      <c r="F37">
        <v>568</v>
      </c>
      <c r="G37">
        <v>13</v>
      </c>
      <c r="H37">
        <v>13</v>
      </c>
      <c r="I37">
        <v>2</v>
      </c>
      <c r="J37">
        <v>0.8</v>
      </c>
      <c r="K37">
        <v>1601</v>
      </c>
      <c r="L37">
        <v>0.46</v>
      </c>
      <c r="M37">
        <v>0</v>
      </c>
      <c r="N37" t="s">
        <v>23</v>
      </c>
      <c r="O37" t="s">
        <v>16</v>
      </c>
      <c r="P37">
        <f xml:space="preserve"> Table17[[#This Row],[Unit value (USD/unit)]] * (1 + Table17[[#This Row],[Average tariff (estimated) applied by the country (%)]]/100)</f>
        <v>568</v>
      </c>
    </row>
    <row r="38" spans="1:16">
      <c r="A38" t="s">
        <v>60</v>
      </c>
      <c r="B38" t="s">
        <v>15</v>
      </c>
      <c r="C38">
        <v>7397</v>
      </c>
      <c r="D38">
        <v>-7086</v>
      </c>
      <c r="E38">
        <v>15572</v>
      </c>
      <c r="F38">
        <v>475</v>
      </c>
      <c r="G38">
        <v>0</v>
      </c>
      <c r="H38">
        <v>4</v>
      </c>
      <c r="I38">
        <v>0</v>
      </c>
      <c r="J38">
        <v>0.7</v>
      </c>
      <c r="K38">
        <v>895</v>
      </c>
      <c r="L38">
        <v>0.43</v>
      </c>
      <c r="M38">
        <v>1.8</v>
      </c>
      <c r="N38" t="s">
        <v>15</v>
      </c>
      <c r="O38" t="s">
        <v>16</v>
      </c>
      <c r="P38">
        <f xml:space="preserve"> Table17[[#This Row],[Unit value (USD/unit)]] * (1 + Table17[[#This Row],[Average tariff (estimated) applied by the country (%)]]/100)</f>
        <v>483.55</v>
      </c>
    </row>
    <row r="39" spans="1:16">
      <c r="A39" t="s">
        <v>61</v>
      </c>
      <c r="B39" t="s">
        <v>15</v>
      </c>
      <c r="C39">
        <v>7283</v>
      </c>
      <c r="D39">
        <v>-7254</v>
      </c>
      <c r="E39">
        <v>14280</v>
      </c>
      <c r="F39">
        <v>510</v>
      </c>
      <c r="G39">
        <v>-6</v>
      </c>
      <c r="H39">
        <v>4</v>
      </c>
      <c r="I39">
        <v>1</v>
      </c>
      <c r="J39">
        <v>0.7</v>
      </c>
      <c r="K39">
        <v>491</v>
      </c>
      <c r="L39">
        <v>0.4</v>
      </c>
      <c r="M39">
        <v>1.8</v>
      </c>
      <c r="N39" t="s">
        <v>15</v>
      </c>
      <c r="O39" t="s">
        <v>16</v>
      </c>
      <c r="P39">
        <f xml:space="preserve"> Table17[[#This Row],[Unit value (USD/unit)]] * (1 + Table17[[#This Row],[Average tariff (estimated) applied by the country (%)]]/100)</f>
        <v>519.18000000000006</v>
      </c>
    </row>
    <row r="40" spans="1:16">
      <c r="A40" t="s">
        <v>62</v>
      </c>
      <c r="B40" t="s">
        <v>15</v>
      </c>
      <c r="C40">
        <v>6809</v>
      </c>
      <c r="D40">
        <v>-6135</v>
      </c>
      <c r="E40">
        <v>14692</v>
      </c>
      <c r="F40">
        <v>463</v>
      </c>
      <c r="G40">
        <v>2</v>
      </c>
      <c r="H40">
        <v>-2</v>
      </c>
      <c r="I40">
        <v>28</v>
      </c>
      <c r="J40">
        <v>0.7</v>
      </c>
      <c r="K40">
        <v>459</v>
      </c>
      <c r="L40">
        <v>0.28000000000000003</v>
      </c>
      <c r="M40">
        <v>1.8</v>
      </c>
      <c r="N40" t="s">
        <v>15</v>
      </c>
      <c r="O40" t="s">
        <v>16</v>
      </c>
      <c r="P40">
        <f xml:space="preserve"> Table17[[#This Row],[Unit value (USD/unit)]] * (1 + Table17[[#This Row],[Average tariff (estimated) applied by the country (%)]]/100)</f>
        <v>471.334</v>
      </c>
    </row>
    <row r="41" spans="1:16">
      <c r="A41" t="s">
        <v>63</v>
      </c>
      <c r="B41" t="s">
        <v>15</v>
      </c>
      <c r="C41">
        <v>6408</v>
      </c>
      <c r="D41">
        <v>-2764</v>
      </c>
      <c r="E41">
        <v>13367</v>
      </c>
      <c r="F41">
        <v>479</v>
      </c>
      <c r="G41">
        <v>-15</v>
      </c>
      <c r="H41">
        <v>-12</v>
      </c>
      <c r="I41">
        <v>7</v>
      </c>
      <c r="J41">
        <v>0.6</v>
      </c>
      <c r="K41">
        <v>683</v>
      </c>
      <c r="L41">
        <v>0.48</v>
      </c>
      <c r="M41">
        <v>0</v>
      </c>
      <c r="N41" t="s">
        <v>15</v>
      </c>
      <c r="O41" t="s">
        <v>16</v>
      </c>
      <c r="P41">
        <f xml:space="preserve"> Table17[[#This Row],[Unit value (USD/unit)]] * (1 + Table17[[#This Row],[Average tariff (estimated) applied by the country (%)]]/100)</f>
        <v>479</v>
      </c>
    </row>
    <row r="42" spans="1:16">
      <c r="A42" t="s">
        <v>64</v>
      </c>
      <c r="B42" t="s">
        <v>44</v>
      </c>
      <c r="C42">
        <v>6195</v>
      </c>
      <c r="D42">
        <v>-4006</v>
      </c>
      <c r="E42">
        <v>9074</v>
      </c>
      <c r="F42">
        <v>683</v>
      </c>
      <c r="G42">
        <v>4</v>
      </c>
      <c r="H42">
        <v>29</v>
      </c>
      <c r="I42">
        <v>-46</v>
      </c>
      <c r="J42">
        <v>0.6</v>
      </c>
      <c r="K42">
        <v>2910</v>
      </c>
      <c r="L42">
        <v>0.2</v>
      </c>
      <c r="M42">
        <v>0</v>
      </c>
      <c r="N42" t="s">
        <v>44</v>
      </c>
      <c r="O42" t="s">
        <v>16</v>
      </c>
      <c r="P42">
        <f xml:space="preserve"> Table17[[#This Row],[Unit value (USD/unit)]] * (1 + Table17[[#This Row],[Average tariff (estimated) applied by the country (%)]]/100)</f>
        <v>683</v>
      </c>
    </row>
    <row r="43" spans="1:16">
      <c r="A43" t="s">
        <v>65</v>
      </c>
      <c r="B43" t="s">
        <v>66</v>
      </c>
      <c r="C43">
        <v>5792</v>
      </c>
      <c r="D43">
        <v>-3324</v>
      </c>
      <c r="E43">
        <v>10651</v>
      </c>
      <c r="F43">
        <v>544</v>
      </c>
      <c r="G43">
        <v>6</v>
      </c>
      <c r="H43">
        <v>1</v>
      </c>
      <c r="I43">
        <v>129</v>
      </c>
      <c r="J43">
        <v>0.6</v>
      </c>
      <c r="K43">
        <v>9298</v>
      </c>
      <c r="L43">
        <v>0.28999999999999998</v>
      </c>
      <c r="M43">
        <v>4.0999999999999996</v>
      </c>
      <c r="N43" t="s">
        <v>66</v>
      </c>
      <c r="O43" t="s">
        <v>16</v>
      </c>
      <c r="P43">
        <f xml:space="preserve"> Table17[[#This Row],[Unit value (USD/unit)]] * (1 + Table17[[#This Row],[Average tariff (estimated) applied by the country (%)]]/100)</f>
        <v>566.30399999999997</v>
      </c>
    </row>
    <row r="44" spans="1:16">
      <c r="A44" t="s">
        <v>67</v>
      </c>
      <c r="B44" t="s">
        <v>44</v>
      </c>
      <c r="C44">
        <v>5050</v>
      </c>
      <c r="D44">
        <v>-4938</v>
      </c>
      <c r="E44">
        <v>6353</v>
      </c>
      <c r="F44">
        <v>795</v>
      </c>
      <c r="G44">
        <v>-10</v>
      </c>
      <c r="H44">
        <v>-16</v>
      </c>
      <c r="I44">
        <v>-22</v>
      </c>
      <c r="J44">
        <v>0.5</v>
      </c>
      <c r="K44">
        <v>2928</v>
      </c>
      <c r="L44">
        <v>0.37</v>
      </c>
      <c r="M44">
        <v>4.8</v>
      </c>
      <c r="N44" t="s">
        <v>44</v>
      </c>
      <c r="O44" t="s">
        <v>16</v>
      </c>
      <c r="P44">
        <f xml:space="preserve"> Table17[[#This Row],[Unit value (USD/unit)]] * (1 + Table17[[#This Row],[Average tariff (estimated) applied by the country (%)]]/100)</f>
        <v>833.16000000000008</v>
      </c>
    </row>
    <row r="45" spans="1:16">
      <c r="A45" t="s">
        <v>68</v>
      </c>
      <c r="B45" t="s">
        <v>44</v>
      </c>
      <c r="C45">
        <v>4965</v>
      </c>
      <c r="D45">
        <v>-3648</v>
      </c>
      <c r="E45">
        <v>10584</v>
      </c>
      <c r="F45">
        <v>469</v>
      </c>
      <c r="G45">
        <v>5</v>
      </c>
      <c r="H45">
        <v>4</v>
      </c>
      <c r="I45">
        <v>21</v>
      </c>
      <c r="J45">
        <v>0.5</v>
      </c>
      <c r="K45">
        <v>3357</v>
      </c>
      <c r="L45">
        <v>0.51</v>
      </c>
      <c r="M45">
        <v>10.8</v>
      </c>
      <c r="N45" t="s">
        <v>44</v>
      </c>
      <c r="O45" t="s">
        <v>19</v>
      </c>
      <c r="P45">
        <f xml:space="preserve"> Table17[[#This Row],[Unit value (USD/unit)]] * (1 + Table17[[#This Row],[Average tariff (estimated) applied by the country (%)]]/100)</f>
        <v>519.65200000000004</v>
      </c>
    </row>
    <row r="46" spans="1:16">
      <c r="A46" t="s">
        <v>69</v>
      </c>
      <c r="B46" t="s">
        <v>66</v>
      </c>
      <c r="C46">
        <v>4710</v>
      </c>
      <c r="D46">
        <v>-4710</v>
      </c>
      <c r="E46">
        <v>5636</v>
      </c>
      <c r="F46">
        <v>836</v>
      </c>
      <c r="G46">
        <v>34</v>
      </c>
      <c r="H46">
        <v>18</v>
      </c>
      <c r="I46">
        <v>7</v>
      </c>
      <c r="J46">
        <v>0.5</v>
      </c>
      <c r="K46">
        <v>8910</v>
      </c>
      <c r="L46">
        <v>0.26</v>
      </c>
      <c r="M46">
        <v>4.7</v>
      </c>
      <c r="N46" t="s">
        <v>66</v>
      </c>
      <c r="O46" t="s">
        <v>16</v>
      </c>
      <c r="P46">
        <f xml:space="preserve"> Table17[[#This Row],[Unit value (USD/unit)]] * (1 + Table17[[#This Row],[Average tariff (estimated) applied by the country (%)]]/100)</f>
        <v>875.29199999999992</v>
      </c>
    </row>
    <row r="47" spans="1:16">
      <c r="A47" t="s">
        <v>70</v>
      </c>
      <c r="B47" t="s">
        <v>66</v>
      </c>
      <c r="C47">
        <v>4626</v>
      </c>
      <c r="D47">
        <v>-3542</v>
      </c>
      <c r="E47">
        <v>7588</v>
      </c>
      <c r="F47">
        <v>610</v>
      </c>
      <c r="G47">
        <v>-21</v>
      </c>
      <c r="H47">
        <v>-17</v>
      </c>
      <c r="I47">
        <v>-38</v>
      </c>
      <c r="J47">
        <v>0.5</v>
      </c>
      <c r="K47">
        <v>9635</v>
      </c>
      <c r="L47">
        <v>0.31</v>
      </c>
      <c r="M47">
        <v>4.0999999999999996</v>
      </c>
      <c r="N47" t="s">
        <v>66</v>
      </c>
      <c r="O47" t="s">
        <v>16</v>
      </c>
      <c r="P47">
        <f xml:space="preserve"> Table17[[#This Row],[Unit value (USD/unit)]] * (1 + Table17[[#This Row],[Average tariff (estimated) applied by the country (%)]]/100)</f>
        <v>635.01</v>
      </c>
    </row>
    <row r="48" spans="1:16">
      <c r="A48" t="s">
        <v>71</v>
      </c>
      <c r="B48" t="s">
        <v>18</v>
      </c>
      <c r="C48">
        <v>4559</v>
      </c>
      <c r="D48">
        <v>-1491</v>
      </c>
      <c r="E48">
        <v>6982</v>
      </c>
      <c r="F48">
        <v>653</v>
      </c>
      <c r="G48">
        <v>10</v>
      </c>
      <c r="H48">
        <v>2</v>
      </c>
      <c r="I48">
        <v>-8</v>
      </c>
      <c r="J48">
        <v>0.4</v>
      </c>
      <c r="K48">
        <v>4158</v>
      </c>
      <c r="L48">
        <v>0.37</v>
      </c>
      <c r="M48">
        <v>0</v>
      </c>
      <c r="N48" t="s">
        <v>18</v>
      </c>
      <c r="O48" t="s">
        <v>16</v>
      </c>
      <c r="P48">
        <f xml:space="preserve"> Table17[[#This Row],[Unit value (USD/unit)]] * (1 + Table17[[#This Row],[Average tariff (estimated) applied by the country (%)]]/100)</f>
        <v>653</v>
      </c>
    </row>
    <row r="49" spans="1:16">
      <c r="A49" t="s">
        <v>72</v>
      </c>
      <c r="B49" t="s">
        <v>15</v>
      </c>
      <c r="C49">
        <v>4420</v>
      </c>
      <c r="D49">
        <v>-4420</v>
      </c>
      <c r="E49">
        <v>9651</v>
      </c>
      <c r="F49">
        <v>458</v>
      </c>
      <c r="G49">
        <v>-19</v>
      </c>
      <c r="H49">
        <v>4</v>
      </c>
      <c r="I49">
        <v>-39</v>
      </c>
      <c r="J49">
        <v>0.4</v>
      </c>
      <c r="K49">
        <v>775</v>
      </c>
      <c r="L49">
        <v>0.64</v>
      </c>
      <c r="M49">
        <v>1.8</v>
      </c>
      <c r="N49" t="s">
        <v>15</v>
      </c>
      <c r="O49" t="s">
        <v>19</v>
      </c>
      <c r="P49">
        <f xml:space="preserve"> Table17[[#This Row],[Unit value (USD/unit)]] * (1 + Table17[[#This Row],[Average tariff (estimated) applied by the country (%)]]/100)</f>
        <v>466.24400000000003</v>
      </c>
    </row>
    <row r="50" spans="1:16">
      <c r="A50" t="s">
        <v>73</v>
      </c>
      <c r="B50" t="s">
        <v>66</v>
      </c>
      <c r="C50">
        <v>3949</v>
      </c>
      <c r="D50">
        <v>-3816</v>
      </c>
      <c r="E50">
        <v>6473</v>
      </c>
      <c r="F50">
        <v>610</v>
      </c>
      <c r="G50">
        <v>8</v>
      </c>
      <c r="H50">
        <v>0</v>
      </c>
      <c r="I50">
        <v>-21</v>
      </c>
      <c r="J50">
        <v>0.4</v>
      </c>
      <c r="K50">
        <v>2776</v>
      </c>
      <c r="L50">
        <v>0.41</v>
      </c>
      <c r="M50">
        <v>0</v>
      </c>
      <c r="N50" t="s">
        <v>66</v>
      </c>
      <c r="O50" t="s">
        <v>16</v>
      </c>
      <c r="P50">
        <f xml:space="preserve"> Table17[[#This Row],[Unit value (USD/unit)]] * (1 + Table17[[#This Row],[Average tariff (estimated) applied by the country (%)]]/100)</f>
        <v>610</v>
      </c>
    </row>
    <row r="51" spans="1:16">
      <c r="A51" t="s">
        <v>74</v>
      </c>
      <c r="B51" t="s">
        <v>66</v>
      </c>
      <c r="C51">
        <v>3601</v>
      </c>
      <c r="D51">
        <v>-3596</v>
      </c>
      <c r="E51">
        <v>5487</v>
      </c>
      <c r="F51">
        <v>656</v>
      </c>
      <c r="G51">
        <v>12</v>
      </c>
      <c r="H51">
        <v>9</v>
      </c>
      <c r="I51">
        <v>67</v>
      </c>
      <c r="J51">
        <v>0.4</v>
      </c>
      <c r="K51">
        <v>7392</v>
      </c>
      <c r="L51">
        <v>0.2</v>
      </c>
      <c r="M51">
        <v>0</v>
      </c>
      <c r="N51" t="s">
        <v>66</v>
      </c>
      <c r="O51" t="s">
        <v>16</v>
      </c>
      <c r="P51">
        <f xml:space="preserve"> Table17[[#This Row],[Unit value (USD/unit)]] * (1 + Table17[[#This Row],[Average tariff (estimated) applied by the country (%)]]/100)</f>
        <v>656</v>
      </c>
    </row>
    <row r="52" spans="1:16">
      <c r="A52" t="s">
        <v>75</v>
      </c>
      <c r="B52" t="s">
        <v>25</v>
      </c>
      <c r="C52">
        <v>3432</v>
      </c>
      <c r="D52">
        <v>-3432</v>
      </c>
      <c r="E52">
        <v>6766</v>
      </c>
      <c r="F52">
        <v>507</v>
      </c>
      <c r="G52">
        <v>14</v>
      </c>
      <c r="H52">
        <v>7</v>
      </c>
      <c r="I52">
        <v>158</v>
      </c>
      <c r="J52">
        <v>0.3</v>
      </c>
      <c r="K52">
        <v>558</v>
      </c>
      <c r="L52">
        <v>0.82</v>
      </c>
      <c r="M52">
        <v>4.7</v>
      </c>
      <c r="N52" t="s">
        <v>25</v>
      </c>
      <c r="O52" t="s">
        <v>19</v>
      </c>
      <c r="P52">
        <f xml:space="preserve"> Table17[[#This Row],[Unit value (USD/unit)]] * (1 + Table17[[#This Row],[Average tariff (estimated) applied by the country (%)]]/100)</f>
        <v>530.82899999999995</v>
      </c>
    </row>
    <row r="53" spans="1:16">
      <c r="A53" t="s">
        <v>76</v>
      </c>
      <c r="B53" t="s">
        <v>23</v>
      </c>
      <c r="C53">
        <v>3245</v>
      </c>
      <c r="D53">
        <v>-3071</v>
      </c>
      <c r="E53">
        <v>5952</v>
      </c>
      <c r="F53">
        <v>545</v>
      </c>
      <c r="G53">
        <v>6</v>
      </c>
      <c r="H53">
        <v>9</v>
      </c>
      <c r="I53">
        <v>-13</v>
      </c>
      <c r="J53">
        <v>0.3</v>
      </c>
      <c r="K53">
        <v>3511</v>
      </c>
      <c r="L53">
        <v>0.26</v>
      </c>
      <c r="M53">
        <v>4.5</v>
      </c>
      <c r="N53" t="s">
        <v>23</v>
      </c>
      <c r="O53" t="s">
        <v>16</v>
      </c>
      <c r="P53">
        <f xml:space="preserve"> Table17[[#This Row],[Unit value (USD/unit)]] * (1 + Table17[[#This Row],[Average tariff (estimated) applied by the country (%)]]/100)</f>
        <v>569.52499999999998</v>
      </c>
    </row>
    <row r="54" spans="1:16">
      <c r="A54" t="s">
        <v>77</v>
      </c>
      <c r="B54" t="s">
        <v>44</v>
      </c>
      <c r="C54">
        <v>3191</v>
      </c>
      <c r="D54">
        <v>-3191</v>
      </c>
      <c r="E54">
        <v>4401</v>
      </c>
      <c r="F54">
        <v>725</v>
      </c>
      <c r="G54">
        <v>39</v>
      </c>
      <c r="H54">
        <v>4</v>
      </c>
      <c r="I54">
        <v>36</v>
      </c>
      <c r="J54">
        <v>0.3</v>
      </c>
      <c r="K54">
        <v>2151</v>
      </c>
      <c r="L54">
        <v>0.72</v>
      </c>
      <c r="M54">
        <v>1.8</v>
      </c>
      <c r="N54" t="s">
        <v>44</v>
      </c>
      <c r="O54" t="s">
        <v>19</v>
      </c>
      <c r="P54">
        <f xml:space="preserve"> Table17[[#This Row],[Unit value (USD/unit)]] * (1 + Table17[[#This Row],[Average tariff (estimated) applied by the country (%)]]/100)</f>
        <v>738.05000000000007</v>
      </c>
    </row>
    <row r="55" spans="1:16">
      <c r="A55" t="s">
        <v>78</v>
      </c>
      <c r="B55" t="s">
        <v>15</v>
      </c>
      <c r="C55">
        <v>3056</v>
      </c>
      <c r="D55">
        <v>-2895</v>
      </c>
      <c r="E55">
        <v>3883</v>
      </c>
      <c r="F55">
        <v>787</v>
      </c>
      <c r="G55">
        <v>5</v>
      </c>
      <c r="H55">
        <v>-5</v>
      </c>
      <c r="I55">
        <v>14</v>
      </c>
      <c r="J55">
        <v>0.3</v>
      </c>
      <c r="K55">
        <v>1329</v>
      </c>
      <c r="L55">
        <v>0.31</v>
      </c>
      <c r="M55">
        <v>4</v>
      </c>
      <c r="N55" t="s">
        <v>15</v>
      </c>
      <c r="O55" t="s">
        <v>16</v>
      </c>
      <c r="P55">
        <f xml:space="preserve"> Table17[[#This Row],[Unit value (USD/unit)]] * (1 + Table17[[#This Row],[Average tariff (estimated) applied by the country (%)]]/100)</f>
        <v>818.48</v>
      </c>
    </row>
    <row r="56" spans="1:16">
      <c r="A56" t="s">
        <v>79</v>
      </c>
      <c r="B56" t="s">
        <v>25</v>
      </c>
      <c r="C56">
        <v>3056</v>
      </c>
      <c r="D56">
        <v>-2904</v>
      </c>
      <c r="E56">
        <v>7159</v>
      </c>
      <c r="F56">
        <v>427</v>
      </c>
      <c r="G56">
        <v>45</v>
      </c>
      <c r="H56">
        <v>46</v>
      </c>
      <c r="I56">
        <v>-31</v>
      </c>
      <c r="J56">
        <v>0.3</v>
      </c>
      <c r="K56">
        <v>1871</v>
      </c>
      <c r="L56">
        <v>0.33</v>
      </c>
      <c r="M56">
        <v>3.3</v>
      </c>
      <c r="N56" t="s">
        <v>25</v>
      </c>
      <c r="O56" t="s">
        <v>16</v>
      </c>
      <c r="P56">
        <f xml:space="preserve"> Table17[[#This Row],[Unit value (USD/unit)]] * (1 + Table17[[#This Row],[Average tariff (estimated) applied by the country (%)]]/100)</f>
        <v>441.09099999999995</v>
      </c>
    </row>
    <row r="57" spans="1:16">
      <c r="A57" t="s">
        <v>80</v>
      </c>
      <c r="B57" t="s">
        <v>66</v>
      </c>
      <c r="C57">
        <v>2879</v>
      </c>
      <c r="D57">
        <v>-2879</v>
      </c>
      <c r="E57">
        <v>4698</v>
      </c>
      <c r="F57">
        <v>613</v>
      </c>
      <c r="G57">
        <v>-1</v>
      </c>
      <c r="H57">
        <v>-14</v>
      </c>
      <c r="I57">
        <v>36</v>
      </c>
      <c r="J57">
        <v>0.3</v>
      </c>
      <c r="K57">
        <v>4668</v>
      </c>
      <c r="L57">
        <v>0.44</v>
      </c>
      <c r="M57">
        <v>4.7</v>
      </c>
      <c r="N57" t="s">
        <v>66</v>
      </c>
      <c r="O57" t="s">
        <v>16</v>
      </c>
      <c r="P57">
        <f xml:space="preserve"> Table17[[#This Row],[Unit value (USD/unit)]] * (1 + Table17[[#This Row],[Average tariff (estimated) applied by the country (%)]]/100)</f>
        <v>641.81099999999992</v>
      </c>
    </row>
    <row r="58" spans="1:16">
      <c r="A58" t="s">
        <v>81</v>
      </c>
      <c r="B58" t="s">
        <v>15</v>
      </c>
      <c r="C58">
        <v>2836</v>
      </c>
      <c r="D58">
        <v>-2658</v>
      </c>
      <c r="E58">
        <v>2736</v>
      </c>
      <c r="F58">
        <v>1037</v>
      </c>
      <c r="G58">
        <v>12</v>
      </c>
      <c r="H58">
        <v>-1</v>
      </c>
      <c r="I58">
        <v>-5</v>
      </c>
      <c r="J58">
        <v>0.3</v>
      </c>
      <c r="K58">
        <v>859</v>
      </c>
      <c r="L58">
        <v>0.2</v>
      </c>
      <c r="M58">
        <v>1.8</v>
      </c>
      <c r="N58" t="s">
        <v>15</v>
      </c>
      <c r="O58" t="s">
        <v>16</v>
      </c>
      <c r="P58">
        <f xml:space="preserve"> Table17[[#This Row],[Unit value (USD/unit)]] * (1 + Table17[[#This Row],[Average tariff (estimated) applied by the country (%)]]/100)</f>
        <v>1055.6659999999999</v>
      </c>
    </row>
    <row r="59" spans="1:16">
      <c r="A59" t="s">
        <v>82</v>
      </c>
      <c r="B59" t="s">
        <v>23</v>
      </c>
      <c r="C59">
        <v>2767</v>
      </c>
      <c r="D59">
        <v>-1223</v>
      </c>
      <c r="E59">
        <v>2840</v>
      </c>
      <c r="F59">
        <v>974</v>
      </c>
      <c r="G59">
        <v>3</v>
      </c>
      <c r="H59">
        <v>-4</v>
      </c>
      <c r="I59">
        <v>13</v>
      </c>
      <c r="J59">
        <v>0.3</v>
      </c>
      <c r="K59">
        <v>5046</v>
      </c>
      <c r="L59">
        <v>0.21</v>
      </c>
      <c r="M59">
        <v>4.5</v>
      </c>
      <c r="N59" t="s">
        <v>23</v>
      </c>
      <c r="O59" t="s">
        <v>16</v>
      </c>
      <c r="P59">
        <f xml:space="preserve"> Table17[[#This Row],[Unit value (USD/unit)]] * (1 + Table17[[#This Row],[Average tariff (estimated) applied by the country (%)]]/100)</f>
        <v>1017.8299999999999</v>
      </c>
    </row>
    <row r="60" spans="1:16">
      <c r="A60" t="s">
        <v>83</v>
      </c>
      <c r="B60" t="s">
        <v>18</v>
      </c>
      <c r="C60">
        <v>2752</v>
      </c>
      <c r="D60">
        <v>-2735</v>
      </c>
      <c r="E60">
        <v>3827</v>
      </c>
      <c r="F60">
        <v>719</v>
      </c>
      <c r="G60">
        <v>17</v>
      </c>
      <c r="H60">
        <v>5</v>
      </c>
      <c r="I60">
        <v>16</v>
      </c>
      <c r="J60">
        <v>0.3</v>
      </c>
      <c r="K60">
        <v>4136</v>
      </c>
      <c r="L60">
        <v>0.48</v>
      </c>
      <c r="M60">
        <v>0</v>
      </c>
      <c r="N60" t="s">
        <v>18</v>
      </c>
      <c r="O60" t="s">
        <v>16</v>
      </c>
      <c r="P60">
        <f xml:space="preserve"> Table17[[#This Row],[Unit value (USD/unit)]] * (1 + Table17[[#This Row],[Average tariff (estimated) applied by the country (%)]]/100)</f>
        <v>719</v>
      </c>
    </row>
    <row r="61" spans="1:16">
      <c r="A61" t="s">
        <v>84</v>
      </c>
      <c r="B61" t="s">
        <v>58</v>
      </c>
      <c r="C61">
        <v>2487</v>
      </c>
      <c r="D61">
        <v>-1482</v>
      </c>
      <c r="E61">
        <v>2882</v>
      </c>
      <c r="F61">
        <v>863</v>
      </c>
      <c r="G61">
        <v>-1</v>
      </c>
      <c r="H61">
        <v>4</v>
      </c>
      <c r="I61">
        <v>12</v>
      </c>
      <c r="J61">
        <v>0.2</v>
      </c>
      <c r="K61">
        <v>10432</v>
      </c>
      <c r="L61">
        <v>0.17</v>
      </c>
      <c r="M61">
        <v>0</v>
      </c>
      <c r="N61" t="s">
        <v>58</v>
      </c>
      <c r="O61" t="s">
        <v>16</v>
      </c>
      <c r="P61">
        <f xml:space="preserve"> Table17[[#This Row],[Unit value (USD/unit)]] * (1 + Table17[[#This Row],[Average tariff (estimated) applied by the country (%)]]/100)</f>
        <v>863</v>
      </c>
    </row>
    <row r="62" spans="1:16">
      <c r="A62" t="s">
        <v>85</v>
      </c>
      <c r="B62" t="s">
        <v>15</v>
      </c>
      <c r="C62">
        <v>2465</v>
      </c>
      <c r="D62">
        <v>-2011</v>
      </c>
      <c r="E62">
        <v>3537</v>
      </c>
      <c r="F62">
        <v>697</v>
      </c>
      <c r="G62">
        <v>21</v>
      </c>
      <c r="H62">
        <v>8</v>
      </c>
      <c r="I62">
        <v>20</v>
      </c>
      <c r="J62">
        <v>0.2</v>
      </c>
      <c r="K62">
        <v>795</v>
      </c>
      <c r="L62">
        <v>0.22</v>
      </c>
      <c r="M62">
        <v>0.8</v>
      </c>
      <c r="N62" t="s">
        <v>15</v>
      </c>
      <c r="O62" t="s">
        <v>16</v>
      </c>
      <c r="P62">
        <f xml:space="preserve"> Table17[[#This Row],[Unit value (USD/unit)]] * (1 + Table17[[#This Row],[Average tariff (estimated) applied by the country (%)]]/100)</f>
        <v>702.57600000000002</v>
      </c>
    </row>
    <row r="63" spans="1:16">
      <c r="A63" t="s">
        <v>86</v>
      </c>
      <c r="B63" t="s">
        <v>25</v>
      </c>
      <c r="C63">
        <v>2310</v>
      </c>
      <c r="D63">
        <v>51580</v>
      </c>
      <c r="E63">
        <v>2644</v>
      </c>
      <c r="F63">
        <v>874</v>
      </c>
      <c r="G63">
        <v>-4</v>
      </c>
      <c r="H63">
        <v>-5</v>
      </c>
      <c r="I63">
        <v>20</v>
      </c>
      <c r="J63">
        <v>0.2</v>
      </c>
      <c r="K63">
        <v>4930</v>
      </c>
      <c r="L63">
        <v>0.36</v>
      </c>
      <c r="M63">
        <v>2.2000000000000002</v>
      </c>
      <c r="N63" t="s">
        <v>25</v>
      </c>
      <c r="O63" t="s">
        <v>16</v>
      </c>
      <c r="P63">
        <f xml:space="preserve"> Table17[[#This Row],[Unit value (USD/unit)]] * (1 + Table17[[#This Row],[Average tariff (estimated) applied by the country (%)]]/100)</f>
        <v>893.22800000000007</v>
      </c>
    </row>
    <row r="64" spans="1:16">
      <c r="A64" t="s">
        <v>87</v>
      </c>
      <c r="B64" t="s">
        <v>66</v>
      </c>
      <c r="C64">
        <v>2221</v>
      </c>
      <c r="D64">
        <v>-2130</v>
      </c>
      <c r="E64">
        <v>1931</v>
      </c>
      <c r="F64">
        <v>1150</v>
      </c>
      <c r="G64">
        <v>27</v>
      </c>
      <c r="H64">
        <v>15</v>
      </c>
      <c r="I64">
        <v>1491</v>
      </c>
      <c r="J64">
        <v>0.2</v>
      </c>
      <c r="K64">
        <v>6281</v>
      </c>
      <c r="L64">
        <v>0.33</v>
      </c>
      <c r="M64">
        <v>5</v>
      </c>
      <c r="N64" t="s">
        <v>66</v>
      </c>
      <c r="O64" t="s">
        <v>16</v>
      </c>
      <c r="P64">
        <f xml:space="preserve"> Table17[[#This Row],[Unit value (USD/unit)]] * (1 + Table17[[#This Row],[Average tariff (estimated) applied by the country (%)]]/100)</f>
        <v>1207.5</v>
      </c>
    </row>
    <row r="65" spans="1:16">
      <c r="A65" t="s">
        <v>88</v>
      </c>
      <c r="B65" t="s">
        <v>66</v>
      </c>
      <c r="C65">
        <v>2212</v>
      </c>
      <c r="D65">
        <v>-2212</v>
      </c>
      <c r="E65">
        <v>2911</v>
      </c>
      <c r="F65">
        <v>760</v>
      </c>
      <c r="G65">
        <v>20</v>
      </c>
      <c r="H65">
        <v>19</v>
      </c>
      <c r="I65">
        <v>8</v>
      </c>
      <c r="J65">
        <v>0.2</v>
      </c>
      <c r="K65">
        <v>4753</v>
      </c>
      <c r="L65">
        <v>0.27</v>
      </c>
      <c r="M65">
        <v>4.5</v>
      </c>
      <c r="N65" t="s">
        <v>66</v>
      </c>
      <c r="O65" t="s">
        <v>16</v>
      </c>
      <c r="P65">
        <f xml:space="preserve"> Table17[[#This Row],[Unit value (USD/unit)]] * (1 + Table17[[#This Row],[Average tariff (estimated) applied by the country (%)]]/100)</f>
        <v>794.19999999999993</v>
      </c>
    </row>
    <row r="66" spans="1:16">
      <c r="A66" t="s">
        <v>89</v>
      </c>
      <c r="B66" t="s">
        <v>15</v>
      </c>
      <c r="C66">
        <v>2181</v>
      </c>
      <c r="D66">
        <v>-1980</v>
      </c>
      <c r="E66">
        <v>3364</v>
      </c>
      <c r="F66">
        <v>648</v>
      </c>
      <c r="G66">
        <v>1</v>
      </c>
      <c r="H66">
        <v>-2</v>
      </c>
      <c r="I66">
        <v>-12</v>
      </c>
      <c r="J66">
        <v>0.2</v>
      </c>
      <c r="K66">
        <v>2115</v>
      </c>
      <c r="L66">
        <v>0.2</v>
      </c>
      <c r="M66">
        <v>1.8</v>
      </c>
      <c r="N66" t="s">
        <v>15</v>
      </c>
      <c r="O66" t="s">
        <v>16</v>
      </c>
      <c r="P66">
        <f xml:space="preserve"> Table17[[#This Row],[Unit value (USD/unit)]] * (1 + Table17[[#This Row],[Average tariff (estimated) applied by the country (%)]]/100)</f>
        <v>659.66399999999999</v>
      </c>
    </row>
    <row r="67" spans="1:16">
      <c r="A67" t="s">
        <v>90</v>
      </c>
      <c r="B67" t="s">
        <v>15</v>
      </c>
      <c r="C67">
        <v>2113</v>
      </c>
      <c r="D67">
        <v>-1989</v>
      </c>
      <c r="E67">
        <v>3950</v>
      </c>
      <c r="F67">
        <v>535</v>
      </c>
      <c r="G67">
        <v>7</v>
      </c>
      <c r="H67">
        <v>4</v>
      </c>
      <c r="I67">
        <v>7</v>
      </c>
      <c r="J67">
        <v>0.2</v>
      </c>
      <c r="K67">
        <v>1354</v>
      </c>
      <c r="L67">
        <v>0.12</v>
      </c>
      <c r="M67">
        <v>1.8</v>
      </c>
      <c r="N67" t="s">
        <v>15</v>
      </c>
      <c r="O67" t="s">
        <v>16</v>
      </c>
      <c r="P67">
        <f xml:space="preserve"> Table17[[#This Row],[Unit value (USD/unit)]] * (1 + Table17[[#This Row],[Average tariff (estimated) applied by the country (%)]]/100)</f>
        <v>544.63</v>
      </c>
    </row>
    <row r="68" spans="1:16">
      <c r="A68" t="s">
        <v>91</v>
      </c>
      <c r="B68" t="s">
        <v>58</v>
      </c>
      <c r="C68">
        <v>2071</v>
      </c>
      <c r="D68">
        <v>-886</v>
      </c>
      <c r="E68">
        <v>2012</v>
      </c>
      <c r="F68">
        <v>1029</v>
      </c>
      <c r="G68">
        <v>30</v>
      </c>
      <c r="H68">
        <v>23</v>
      </c>
      <c r="I68">
        <v>12</v>
      </c>
      <c r="J68">
        <v>0.2</v>
      </c>
      <c r="K68">
        <v>2987</v>
      </c>
      <c r="L68">
        <v>0.94</v>
      </c>
      <c r="M68">
        <v>0</v>
      </c>
      <c r="N68" t="s">
        <v>58</v>
      </c>
      <c r="O68" t="s">
        <v>19</v>
      </c>
      <c r="P68">
        <f xml:space="preserve"> Table17[[#This Row],[Unit value (USD/unit)]] * (1 + Table17[[#This Row],[Average tariff (estimated) applied by the country (%)]]/100)</f>
        <v>1029</v>
      </c>
    </row>
    <row r="69" spans="1:16">
      <c r="A69" t="s">
        <v>92</v>
      </c>
      <c r="B69" t="s">
        <v>66</v>
      </c>
      <c r="C69">
        <v>2021</v>
      </c>
      <c r="D69">
        <v>-1981</v>
      </c>
      <c r="E69">
        <v>2863</v>
      </c>
      <c r="F69">
        <v>706</v>
      </c>
      <c r="G69">
        <v>-2</v>
      </c>
      <c r="H69">
        <v>-10</v>
      </c>
      <c r="I69">
        <v>-25</v>
      </c>
      <c r="J69">
        <v>0.2</v>
      </c>
      <c r="K69">
        <v>2050</v>
      </c>
      <c r="L69">
        <v>0.26</v>
      </c>
      <c r="M69">
        <v>1.7</v>
      </c>
      <c r="N69" t="s">
        <v>66</v>
      </c>
      <c r="O69" t="s">
        <v>16</v>
      </c>
      <c r="P69">
        <f xml:space="preserve"> Table17[[#This Row],[Unit value (USD/unit)]] * (1 + Table17[[#This Row],[Average tariff (estimated) applied by the country (%)]]/100)</f>
        <v>718.00199999999995</v>
      </c>
    </row>
    <row r="70" spans="1:16">
      <c r="A70" t="s">
        <v>93</v>
      </c>
      <c r="B70" t="s">
        <v>66</v>
      </c>
      <c r="C70">
        <v>1964</v>
      </c>
      <c r="D70">
        <v>-1964</v>
      </c>
      <c r="E70">
        <v>2945</v>
      </c>
      <c r="F70">
        <v>667</v>
      </c>
      <c r="G70">
        <v>21</v>
      </c>
      <c r="H70">
        <v>39</v>
      </c>
      <c r="I70">
        <v>9</v>
      </c>
      <c r="J70">
        <v>0.2</v>
      </c>
      <c r="K70">
        <v>1808</v>
      </c>
      <c r="L70">
        <v>0.24</v>
      </c>
      <c r="M70">
        <v>12.2</v>
      </c>
      <c r="N70" t="s">
        <v>66</v>
      </c>
      <c r="O70" t="s">
        <v>16</v>
      </c>
      <c r="P70">
        <f xml:space="preserve"> Table17[[#This Row],[Unit value (USD/unit)]] * (1 + Table17[[#This Row],[Average tariff (estimated) applied by the country (%)]]/100)</f>
        <v>748.37399999999991</v>
      </c>
    </row>
    <row r="71" spans="1:16">
      <c r="A71" t="s">
        <v>94</v>
      </c>
      <c r="B71" t="s">
        <v>66</v>
      </c>
      <c r="C71">
        <v>1799</v>
      </c>
      <c r="D71">
        <v>-1563</v>
      </c>
      <c r="E71">
        <v>2905</v>
      </c>
      <c r="F71">
        <v>619</v>
      </c>
      <c r="G71">
        <v>13</v>
      </c>
      <c r="H71">
        <v>8</v>
      </c>
      <c r="I71">
        <v>18</v>
      </c>
      <c r="J71">
        <v>0.2</v>
      </c>
      <c r="K71">
        <v>8396</v>
      </c>
      <c r="L71">
        <v>0.4</v>
      </c>
      <c r="M71">
        <v>0</v>
      </c>
      <c r="N71" t="s">
        <v>66</v>
      </c>
      <c r="O71" t="s">
        <v>16</v>
      </c>
      <c r="P71">
        <f xml:space="preserve"> Table17[[#This Row],[Unit value (USD/unit)]] * (1 + Table17[[#This Row],[Average tariff (estimated) applied by the country (%)]]/100)</f>
        <v>619</v>
      </c>
    </row>
    <row r="72" spans="1:16">
      <c r="A72" t="s">
        <v>95</v>
      </c>
      <c r="B72" t="s">
        <v>15</v>
      </c>
      <c r="C72">
        <v>1791</v>
      </c>
      <c r="D72">
        <v>-1772</v>
      </c>
      <c r="E72">
        <v>3169</v>
      </c>
      <c r="F72">
        <v>565</v>
      </c>
      <c r="G72">
        <v>9</v>
      </c>
      <c r="H72">
        <v>4</v>
      </c>
      <c r="I72">
        <v>-16</v>
      </c>
      <c r="J72">
        <v>0.2</v>
      </c>
      <c r="K72">
        <v>2144</v>
      </c>
      <c r="L72">
        <v>0.41</v>
      </c>
      <c r="M72">
        <v>4.8</v>
      </c>
      <c r="N72" t="s">
        <v>15</v>
      </c>
      <c r="O72" t="s">
        <v>16</v>
      </c>
      <c r="P72">
        <f xml:space="preserve"> Table17[[#This Row],[Unit value (USD/unit)]] * (1 + Table17[[#This Row],[Average tariff (estimated) applied by the country (%)]]/100)</f>
        <v>592.12</v>
      </c>
    </row>
    <row r="73" spans="1:16">
      <c r="A73" t="s">
        <v>96</v>
      </c>
      <c r="B73" t="s">
        <v>27</v>
      </c>
      <c r="C73">
        <v>1753</v>
      </c>
      <c r="D73">
        <v>75594</v>
      </c>
      <c r="E73">
        <v>1040</v>
      </c>
      <c r="F73">
        <v>1686</v>
      </c>
      <c r="G73">
        <v>-14</v>
      </c>
      <c r="H73">
        <v>-32</v>
      </c>
      <c r="I73">
        <v>-9</v>
      </c>
      <c r="J73">
        <v>0.2</v>
      </c>
      <c r="K73">
        <v>6019</v>
      </c>
      <c r="L73">
        <v>0.16</v>
      </c>
      <c r="M73">
        <v>3.1</v>
      </c>
      <c r="N73" t="s">
        <v>27</v>
      </c>
      <c r="O73" t="s">
        <v>16</v>
      </c>
      <c r="P73">
        <f xml:space="preserve"> Table17[[#This Row],[Unit value (USD/unit)]] * (1 + Table17[[#This Row],[Average tariff (estimated) applied by the country (%)]]/100)</f>
        <v>1738.2659999999998</v>
      </c>
    </row>
    <row r="74" spans="1:16">
      <c r="A74" t="s">
        <v>97</v>
      </c>
      <c r="B74" t="s">
        <v>66</v>
      </c>
      <c r="C74">
        <v>1697</v>
      </c>
      <c r="D74">
        <v>-1697</v>
      </c>
      <c r="E74">
        <v>1957</v>
      </c>
      <c r="F74">
        <v>867</v>
      </c>
      <c r="G74">
        <v>9</v>
      </c>
      <c r="H74">
        <v>1</v>
      </c>
      <c r="I74">
        <v>1</v>
      </c>
      <c r="J74">
        <v>0.2</v>
      </c>
      <c r="K74">
        <v>6626</v>
      </c>
      <c r="L74">
        <v>0.26</v>
      </c>
      <c r="M74">
        <v>4.7</v>
      </c>
      <c r="N74" t="s">
        <v>66</v>
      </c>
      <c r="O74" t="s">
        <v>16</v>
      </c>
      <c r="P74">
        <f xml:space="preserve"> Table17[[#This Row],[Unit value (USD/unit)]] * (1 + Table17[[#This Row],[Average tariff (estimated) applied by the country (%)]]/100)</f>
        <v>907.74899999999991</v>
      </c>
    </row>
    <row r="75" spans="1:16">
      <c r="A75" t="s">
        <v>98</v>
      </c>
      <c r="B75" t="s">
        <v>15</v>
      </c>
      <c r="C75">
        <v>1693</v>
      </c>
      <c r="D75">
        <v>-1693</v>
      </c>
      <c r="E75">
        <v>2642</v>
      </c>
      <c r="F75">
        <v>641</v>
      </c>
      <c r="G75">
        <v>15</v>
      </c>
      <c r="H75">
        <v>10</v>
      </c>
      <c r="I75">
        <v>-1</v>
      </c>
      <c r="J75">
        <v>0.2</v>
      </c>
      <c r="K75">
        <v>764</v>
      </c>
      <c r="L75">
        <v>0.28999999999999998</v>
      </c>
      <c r="M75">
        <v>1.8</v>
      </c>
      <c r="N75" t="s">
        <v>15</v>
      </c>
      <c r="O75" t="s">
        <v>16</v>
      </c>
      <c r="P75">
        <f xml:space="preserve"> Table17[[#This Row],[Unit value (USD/unit)]] * (1 + Table17[[#This Row],[Average tariff (estimated) applied by the country (%)]]/100)</f>
        <v>652.53800000000001</v>
      </c>
    </row>
    <row r="76" spans="1:16">
      <c r="A76" t="s">
        <v>99</v>
      </c>
      <c r="B76" t="s">
        <v>18</v>
      </c>
      <c r="C76">
        <v>1630</v>
      </c>
      <c r="D76">
        <v>-1581</v>
      </c>
      <c r="E76">
        <v>2449</v>
      </c>
      <c r="F76">
        <v>666</v>
      </c>
      <c r="G76">
        <v>1</v>
      </c>
      <c r="H76">
        <v>-3</v>
      </c>
      <c r="I76">
        <v>-40</v>
      </c>
      <c r="J76">
        <v>0.2</v>
      </c>
      <c r="K76">
        <v>4932</v>
      </c>
      <c r="L76">
        <v>0.34</v>
      </c>
      <c r="M76">
        <v>0</v>
      </c>
      <c r="N76" t="s">
        <v>18</v>
      </c>
      <c r="O76" t="s">
        <v>16</v>
      </c>
      <c r="P76">
        <f xml:space="preserve"> Table17[[#This Row],[Unit value (USD/unit)]] * (1 + Table17[[#This Row],[Average tariff (estimated) applied by the country (%)]]/100)</f>
        <v>666</v>
      </c>
    </row>
    <row r="77" spans="1:16">
      <c r="A77" t="s">
        <v>100</v>
      </c>
      <c r="B77" t="s">
        <v>66</v>
      </c>
      <c r="C77">
        <v>1575</v>
      </c>
      <c r="D77">
        <v>-1298</v>
      </c>
      <c r="E77">
        <v>2527</v>
      </c>
      <c r="F77">
        <v>623</v>
      </c>
      <c r="G77">
        <v>12</v>
      </c>
      <c r="H77">
        <v>8</v>
      </c>
      <c r="I77">
        <v>-21</v>
      </c>
      <c r="J77">
        <v>0.2</v>
      </c>
      <c r="K77">
        <v>1332</v>
      </c>
      <c r="L77">
        <v>0.32</v>
      </c>
      <c r="M77">
        <v>0</v>
      </c>
      <c r="N77" t="s">
        <v>66</v>
      </c>
      <c r="O77" t="s">
        <v>16</v>
      </c>
      <c r="P77">
        <f xml:space="preserve"> Table17[[#This Row],[Unit value (USD/unit)]] * (1 + Table17[[#This Row],[Average tariff (estimated) applied by the country (%)]]/100)</f>
        <v>623</v>
      </c>
    </row>
    <row r="78" spans="1:16">
      <c r="A78" t="s">
        <v>101</v>
      </c>
      <c r="B78" t="s">
        <v>18</v>
      </c>
      <c r="C78">
        <v>1550</v>
      </c>
      <c r="D78">
        <v>-1064</v>
      </c>
      <c r="E78">
        <v>1883</v>
      </c>
      <c r="F78">
        <v>823</v>
      </c>
      <c r="G78">
        <v>12</v>
      </c>
      <c r="H78">
        <v>3</v>
      </c>
      <c r="I78">
        <v>6</v>
      </c>
      <c r="J78">
        <v>0.2</v>
      </c>
      <c r="K78">
        <v>7032</v>
      </c>
      <c r="L78">
        <v>0.26</v>
      </c>
      <c r="M78">
        <v>0</v>
      </c>
      <c r="N78" t="s">
        <v>18</v>
      </c>
      <c r="O78" t="s">
        <v>16</v>
      </c>
      <c r="P78">
        <f xml:space="preserve"> Table17[[#This Row],[Unit value (USD/unit)]] * (1 + Table17[[#This Row],[Average tariff (estimated) applied by the country (%)]]/100)</f>
        <v>823</v>
      </c>
    </row>
    <row r="79" spans="1:16">
      <c r="A79" t="s">
        <v>102</v>
      </c>
      <c r="B79" t="s">
        <v>38</v>
      </c>
      <c r="C79">
        <v>1532</v>
      </c>
      <c r="D79">
        <v>-1481</v>
      </c>
      <c r="E79">
        <v>2143</v>
      </c>
      <c r="F79">
        <v>715</v>
      </c>
      <c r="G79">
        <v>20</v>
      </c>
      <c r="H79">
        <v>20</v>
      </c>
      <c r="I79">
        <v>11</v>
      </c>
      <c r="J79">
        <v>0.2</v>
      </c>
      <c r="K79">
        <v>2431</v>
      </c>
      <c r="L79">
        <v>0.81</v>
      </c>
      <c r="M79">
        <v>9.6</v>
      </c>
      <c r="N79" t="s">
        <v>38</v>
      </c>
      <c r="O79" t="s">
        <v>19</v>
      </c>
      <c r="P79">
        <f xml:space="preserve"> Table17[[#This Row],[Unit value (USD/unit)]] * (1 + Table17[[#This Row],[Average tariff (estimated) applied by the country (%)]]/100)</f>
        <v>783.6400000000001</v>
      </c>
    </row>
    <row r="80" spans="1:16">
      <c r="A80" t="s">
        <v>103</v>
      </c>
      <c r="B80" t="s">
        <v>23</v>
      </c>
      <c r="C80">
        <v>1463</v>
      </c>
      <c r="D80">
        <v>-1239</v>
      </c>
      <c r="E80">
        <v>926</v>
      </c>
      <c r="F80">
        <v>800</v>
      </c>
      <c r="G80">
        <v>18</v>
      </c>
      <c r="H80">
        <v>4</v>
      </c>
      <c r="I80">
        <v>0</v>
      </c>
      <c r="J80">
        <v>0.1</v>
      </c>
      <c r="K80">
        <v>2513</v>
      </c>
      <c r="L80">
        <v>0.39</v>
      </c>
      <c r="M80">
        <v>15</v>
      </c>
      <c r="N80" t="s">
        <v>23</v>
      </c>
      <c r="O80" t="s">
        <v>16</v>
      </c>
      <c r="P80">
        <f xml:space="preserve"> Table17[[#This Row],[Unit value (USD/unit)]] * (1 + Table17[[#This Row],[Average tariff (estimated) applied by the country (%)]]/100)</f>
        <v>919.99999999999989</v>
      </c>
    </row>
    <row r="81" spans="1:16">
      <c r="A81" t="s">
        <v>104</v>
      </c>
      <c r="B81" t="s">
        <v>44</v>
      </c>
      <c r="C81">
        <v>1289</v>
      </c>
      <c r="D81">
        <v>-1261</v>
      </c>
      <c r="E81">
        <v>3299</v>
      </c>
      <c r="F81">
        <v>391</v>
      </c>
      <c r="G81">
        <v>-5</v>
      </c>
      <c r="H81">
        <v>0</v>
      </c>
      <c r="I81">
        <v>3</v>
      </c>
      <c r="J81">
        <v>0.1</v>
      </c>
      <c r="K81">
        <v>2413</v>
      </c>
      <c r="L81">
        <v>0.66</v>
      </c>
      <c r="M81">
        <v>0</v>
      </c>
      <c r="N81" t="s">
        <v>44</v>
      </c>
      <c r="O81" t="s">
        <v>19</v>
      </c>
      <c r="P81">
        <f xml:space="preserve"> Table17[[#This Row],[Unit value (USD/unit)]] * (1 + Table17[[#This Row],[Average tariff (estimated) applied by the country (%)]]/100)</f>
        <v>391</v>
      </c>
    </row>
    <row r="82" spans="1:16">
      <c r="A82" t="s">
        <v>105</v>
      </c>
      <c r="B82" t="s">
        <v>18</v>
      </c>
      <c r="C82">
        <v>1159</v>
      </c>
      <c r="D82">
        <v>-1150</v>
      </c>
      <c r="E82">
        <v>997</v>
      </c>
      <c r="F82">
        <v>1162</v>
      </c>
      <c r="G82">
        <v>56</v>
      </c>
      <c r="H82">
        <v>59</v>
      </c>
      <c r="I82">
        <v>23</v>
      </c>
      <c r="J82">
        <v>0.1</v>
      </c>
      <c r="K82">
        <v>6132</v>
      </c>
      <c r="L82">
        <v>0.19</v>
      </c>
      <c r="M82">
        <v>0</v>
      </c>
      <c r="N82" t="s">
        <v>18</v>
      </c>
      <c r="O82" t="s">
        <v>16</v>
      </c>
      <c r="P82">
        <f xml:space="preserve"> Table17[[#This Row],[Unit value (USD/unit)]] * (1 + Table17[[#This Row],[Average tariff (estimated) applied by the country (%)]]/100)</f>
        <v>1162</v>
      </c>
    </row>
    <row r="83" spans="1:16">
      <c r="A83" t="s">
        <v>106</v>
      </c>
      <c r="B83" t="s">
        <v>23</v>
      </c>
      <c r="C83">
        <v>1126</v>
      </c>
      <c r="D83">
        <v>-1126</v>
      </c>
      <c r="E83">
        <v>1494</v>
      </c>
      <c r="F83">
        <v>754</v>
      </c>
      <c r="G83">
        <v>23</v>
      </c>
      <c r="H83">
        <v>18</v>
      </c>
      <c r="I83">
        <v>109</v>
      </c>
      <c r="J83">
        <v>0.1</v>
      </c>
      <c r="K83">
        <v>1462</v>
      </c>
      <c r="L83">
        <v>0.59</v>
      </c>
      <c r="M83">
        <v>0</v>
      </c>
      <c r="N83" t="s">
        <v>23</v>
      </c>
      <c r="O83" t="s">
        <v>19</v>
      </c>
      <c r="P83">
        <f xml:space="preserve"> Table17[[#This Row],[Unit value (USD/unit)]] * (1 + Table17[[#This Row],[Average tariff (estimated) applied by the country (%)]]/100)</f>
        <v>754</v>
      </c>
    </row>
    <row r="84" spans="1:16">
      <c r="A84" t="s">
        <v>107</v>
      </c>
      <c r="B84" t="s">
        <v>38</v>
      </c>
      <c r="C84">
        <v>1102</v>
      </c>
      <c r="D84">
        <v>-1085</v>
      </c>
      <c r="E84">
        <v>1571</v>
      </c>
      <c r="F84">
        <v>701</v>
      </c>
      <c r="G84">
        <v>17</v>
      </c>
      <c r="H84">
        <v>11</v>
      </c>
      <c r="I84">
        <v>21</v>
      </c>
      <c r="J84">
        <v>0.1</v>
      </c>
      <c r="K84">
        <v>4395</v>
      </c>
      <c r="L84">
        <v>0.65</v>
      </c>
      <c r="M84">
        <v>9.6</v>
      </c>
      <c r="N84" t="s">
        <v>38</v>
      </c>
      <c r="O84" t="s">
        <v>19</v>
      </c>
      <c r="P84">
        <f xml:space="preserve"> Table17[[#This Row],[Unit value (USD/unit)]] * (1 + Table17[[#This Row],[Average tariff (estimated) applied by the country (%)]]/100)</f>
        <v>768.29600000000005</v>
      </c>
    </row>
    <row r="85" spans="1:16">
      <c r="A85" t="s">
        <v>108</v>
      </c>
      <c r="B85" t="s">
        <v>23</v>
      </c>
      <c r="C85">
        <v>1065</v>
      </c>
      <c r="D85">
        <v>-1064</v>
      </c>
      <c r="E85">
        <v>1743</v>
      </c>
      <c r="F85">
        <v>611</v>
      </c>
      <c r="G85">
        <v>8</v>
      </c>
      <c r="H85">
        <v>8</v>
      </c>
      <c r="I85">
        <v>-41</v>
      </c>
      <c r="J85">
        <v>0.1</v>
      </c>
      <c r="K85">
        <v>1426</v>
      </c>
      <c r="L85">
        <v>0.44</v>
      </c>
      <c r="M85">
        <v>4.5</v>
      </c>
      <c r="N85" t="s">
        <v>23</v>
      </c>
      <c r="O85" t="s">
        <v>16</v>
      </c>
      <c r="P85">
        <f xml:space="preserve"> Table17[[#This Row],[Unit value (USD/unit)]] * (1 + Table17[[#This Row],[Average tariff (estimated) applied by the country (%)]]/100)</f>
        <v>638.495</v>
      </c>
    </row>
    <row r="86" spans="1:16">
      <c r="A86" t="s">
        <v>109</v>
      </c>
      <c r="B86" t="s">
        <v>66</v>
      </c>
      <c r="C86">
        <v>1061</v>
      </c>
      <c r="D86">
        <v>-1061</v>
      </c>
      <c r="E86">
        <v>1780</v>
      </c>
      <c r="F86">
        <v>596</v>
      </c>
      <c r="G86">
        <v>55</v>
      </c>
      <c r="H86">
        <v>63</v>
      </c>
      <c r="I86">
        <v>-34</v>
      </c>
      <c r="J86">
        <v>0.1</v>
      </c>
      <c r="K86">
        <v>9695</v>
      </c>
      <c r="L86">
        <v>0.28999999999999998</v>
      </c>
      <c r="M86">
        <v>4.7</v>
      </c>
      <c r="N86" t="s">
        <v>66</v>
      </c>
      <c r="O86" t="s">
        <v>16</v>
      </c>
      <c r="P86">
        <f xml:space="preserve"> Table17[[#This Row],[Unit value (USD/unit)]] * (1 + Table17[[#This Row],[Average tariff (estimated) applied by the country (%)]]/100)</f>
        <v>624.01199999999994</v>
      </c>
    </row>
    <row r="87" spans="1:16">
      <c r="A87" t="s">
        <v>110</v>
      </c>
      <c r="B87" t="s">
        <v>15</v>
      </c>
      <c r="C87">
        <v>936</v>
      </c>
      <c r="D87">
        <v>-164</v>
      </c>
      <c r="E87">
        <v>935</v>
      </c>
      <c r="F87">
        <v>1001</v>
      </c>
      <c r="G87">
        <v>21</v>
      </c>
      <c r="H87">
        <v>5</v>
      </c>
      <c r="I87">
        <v>-16</v>
      </c>
      <c r="J87">
        <v>0.1</v>
      </c>
      <c r="K87">
        <v>1202</v>
      </c>
      <c r="L87">
        <v>0.33</v>
      </c>
      <c r="M87">
        <v>1.8</v>
      </c>
      <c r="N87" t="s">
        <v>15</v>
      </c>
      <c r="O87" t="s">
        <v>16</v>
      </c>
      <c r="P87">
        <f xml:space="preserve"> Table17[[#This Row],[Unit value (USD/unit)]] * (1 + Table17[[#This Row],[Average tariff (estimated) applied by the country (%)]]/100)</f>
        <v>1019.018</v>
      </c>
    </row>
    <row r="88" spans="1:16">
      <c r="A88" t="s">
        <v>111</v>
      </c>
      <c r="B88" t="s">
        <v>38</v>
      </c>
      <c r="C88">
        <v>916</v>
      </c>
      <c r="D88">
        <v>60287</v>
      </c>
      <c r="E88">
        <v>334</v>
      </c>
      <c r="F88">
        <v>2743</v>
      </c>
      <c r="G88">
        <v>-11</v>
      </c>
      <c r="H88">
        <v>36</v>
      </c>
      <c r="I88">
        <v>-17</v>
      </c>
      <c r="J88">
        <v>0.1</v>
      </c>
      <c r="K88">
        <v>9531</v>
      </c>
      <c r="L88">
        <v>0.22</v>
      </c>
      <c r="M88">
        <v>9.5</v>
      </c>
      <c r="N88" t="s">
        <v>38</v>
      </c>
      <c r="O88" t="s">
        <v>16</v>
      </c>
      <c r="P88">
        <f xml:space="preserve"> Table17[[#This Row],[Unit value (USD/unit)]] * (1 + Table17[[#This Row],[Average tariff (estimated) applied by the country (%)]]/100)</f>
        <v>3003.585</v>
      </c>
    </row>
    <row r="89" spans="1:16">
      <c r="A89" t="s">
        <v>112</v>
      </c>
      <c r="B89" t="s">
        <v>66</v>
      </c>
      <c r="C89">
        <v>915</v>
      </c>
      <c r="D89">
        <v>-892</v>
      </c>
      <c r="E89">
        <v>1587</v>
      </c>
      <c r="F89">
        <v>577</v>
      </c>
      <c r="G89">
        <v>8</v>
      </c>
      <c r="H89">
        <v>2</v>
      </c>
      <c r="I89">
        <v>85</v>
      </c>
      <c r="J89">
        <v>0.1</v>
      </c>
      <c r="K89">
        <v>7942</v>
      </c>
      <c r="L89">
        <v>0.26</v>
      </c>
      <c r="M89">
        <v>0</v>
      </c>
      <c r="N89" t="s">
        <v>66</v>
      </c>
      <c r="O89" t="s">
        <v>16</v>
      </c>
      <c r="P89">
        <f xml:space="preserve"> Table17[[#This Row],[Unit value (USD/unit)]] * (1 + Table17[[#This Row],[Average tariff (estimated) applied by the country (%)]]/100)</f>
        <v>577</v>
      </c>
    </row>
    <row r="90" spans="1:16">
      <c r="A90" t="s">
        <v>113</v>
      </c>
      <c r="B90" t="s">
        <v>15</v>
      </c>
      <c r="C90">
        <v>881</v>
      </c>
      <c r="D90">
        <v>-250</v>
      </c>
      <c r="E90">
        <v>1336</v>
      </c>
      <c r="F90">
        <v>659</v>
      </c>
      <c r="G90">
        <v>-9</v>
      </c>
      <c r="H90">
        <v>-17</v>
      </c>
      <c r="I90">
        <v>-34</v>
      </c>
      <c r="J90">
        <v>0.1</v>
      </c>
      <c r="K90">
        <v>1059</v>
      </c>
      <c r="L90">
        <v>0.19</v>
      </c>
      <c r="M90">
        <v>1.8</v>
      </c>
      <c r="N90" t="s">
        <v>15</v>
      </c>
      <c r="O90" t="s">
        <v>16</v>
      </c>
      <c r="P90">
        <f xml:space="preserve"> Table17[[#This Row],[Unit value (USD/unit)]] * (1 + Table17[[#This Row],[Average tariff (estimated) applied by the country (%)]]/100)</f>
        <v>670.86199999999997</v>
      </c>
    </row>
    <row r="91" spans="1:16">
      <c r="A91" t="s">
        <v>114</v>
      </c>
      <c r="B91" t="s">
        <v>38</v>
      </c>
      <c r="C91">
        <v>880</v>
      </c>
      <c r="D91">
        <v>-880</v>
      </c>
      <c r="E91">
        <v>888</v>
      </c>
      <c r="F91">
        <v>991</v>
      </c>
      <c r="G91">
        <v>5</v>
      </c>
      <c r="H91">
        <v>0</v>
      </c>
      <c r="I91">
        <v>-10</v>
      </c>
      <c r="J91">
        <v>0.1</v>
      </c>
      <c r="K91">
        <v>7027</v>
      </c>
      <c r="L91">
        <v>0.35</v>
      </c>
      <c r="M91">
        <v>0</v>
      </c>
      <c r="N91" t="s">
        <v>38</v>
      </c>
      <c r="O91" t="s">
        <v>16</v>
      </c>
      <c r="P91">
        <f xml:space="preserve"> Table17[[#This Row],[Unit value (USD/unit)]] * (1 + Table17[[#This Row],[Average tariff (estimated) applied by the country (%)]]/100)</f>
        <v>991</v>
      </c>
    </row>
    <row r="92" spans="1:16">
      <c r="A92" t="s">
        <v>115</v>
      </c>
      <c r="B92" t="s">
        <v>18</v>
      </c>
      <c r="C92">
        <v>796</v>
      </c>
      <c r="D92">
        <v>-734</v>
      </c>
      <c r="E92">
        <v>1012</v>
      </c>
      <c r="F92">
        <v>787</v>
      </c>
      <c r="G92">
        <v>1</v>
      </c>
      <c r="H92">
        <v>-11</v>
      </c>
      <c r="I92">
        <v>-51</v>
      </c>
      <c r="J92">
        <v>0.1</v>
      </c>
      <c r="K92">
        <v>5727</v>
      </c>
      <c r="L92">
        <v>0.47</v>
      </c>
      <c r="M92">
        <v>0</v>
      </c>
      <c r="N92" t="s">
        <v>18</v>
      </c>
      <c r="O92" t="s">
        <v>16</v>
      </c>
      <c r="P92">
        <f xml:space="preserve"> Table17[[#This Row],[Unit value (USD/unit)]] * (1 + Table17[[#This Row],[Average tariff (estimated) applied by the country (%)]]/100)</f>
        <v>787</v>
      </c>
    </row>
    <row r="93" spans="1:16">
      <c r="A93" t="s">
        <v>116</v>
      </c>
      <c r="B93" t="s">
        <v>15</v>
      </c>
      <c r="C93">
        <v>787</v>
      </c>
      <c r="D93">
        <v>-611</v>
      </c>
      <c r="E93">
        <v>1076</v>
      </c>
      <c r="F93">
        <v>731</v>
      </c>
      <c r="G93">
        <v>5</v>
      </c>
      <c r="H93">
        <v>-6</v>
      </c>
      <c r="I93">
        <v>4</v>
      </c>
      <c r="J93">
        <v>0.1</v>
      </c>
      <c r="K93">
        <v>694</v>
      </c>
      <c r="L93">
        <v>0.2</v>
      </c>
      <c r="M93">
        <v>1.8</v>
      </c>
      <c r="N93" t="s">
        <v>15</v>
      </c>
      <c r="O93" t="s">
        <v>16</v>
      </c>
      <c r="P93">
        <f xml:space="preserve"> Table17[[#This Row],[Unit value (USD/unit)]] * (1 + Table17[[#This Row],[Average tariff (estimated) applied by the country (%)]]/100)</f>
        <v>744.15800000000002</v>
      </c>
    </row>
    <row r="94" spans="1:16">
      <c r="A94" t="s">
        <v>117</v>
      </c>
      <c r="B94" t="s">
        <v>23</v>
      </c>
      <c r="C94">
        <v>724</v>
      </c>
      <c r="D94">
        <v>-724</v>
      </c>
      <c r="E94">
        <v>782</v>
      </c>
      <c r="F94">
        <v>926</v>
      </c>
      <c r="G94">
        <v>12</v>
      </c>
      <c r="H94">
        <v>4</v>
      </c>
      <c r="I94">
        <v>29</v>
      </c>
      <c r="J94">
        <v>0.1</v>
      </c>
      <c r="K94">
        <v>3774</v>
      </c>
      <c r="L94">
        <v>0.19</v>
      </c>
      <c r="M94">
        <v>1.8</v>
      </c>
      <c r="N94" t="s">
        <v>23</v>
      </c>
      <c r="O94" t="s">
        <v>16</v>
      </c>
      <c r="P94">
        <f xml:space="preserve"> Table17[[#This Row],[Unit value (USD/unit)]] * (1 + Table17[[#This Row],[Average tariff (estimated) applied by the country (%)]]/100)</f>
        <v>942.66800000000001</v>
      </c>
    </row>
    <row r="95" spans="1:16">
      <c r="A95" t="s">
        <v>118</v>
      </c>
      <c r="B95" t="s">
        <v>44</v>
      </c>
      <c r="C95">
        <v>668</v>
      </c>
      <c r="D95">
        <v>-668</v>
      </c>
      <c r="E95">
        <v>741</v>
      </c>
      <c r="F95">
        <v>901</v>
      </c>
      <c r="G95">
        <v>18</v>
      </c>
      <c r="H95">
        <v>-1</v>
      </c>
      <c r="I95">
        <v>-28</v>
      </c>
      <c r="J95">
        <v>0.1</v>
      </c>
      <c r="K95">
        <v>3382</v>
      </c>
      <c r="L95">
        <v>0.28999999999999998</v>
      </c>
      <c r="M95">
        <v>4.8</v>
      </c>
      <c r="N95" t="s">
        <v>44</v>
      </c>
      <c r="O95" t="s">
        <v>16</v>
      </c>
      <c r="P95">
        <f xml:space="preserve"> Table17[[#This Row],[Unit value (USD/unit)]] * (1 + Table17[[#This Row],[Average tariff (estimated) applied by the country (%)]]/100)</f>
        <v>944.24800000000005</v>
      </c>
    </row>
    <row r="96" spans="1:16">
      <c r="A96" t="s">
        <v>119</v>
      </c>
      <c r="B96" t="s">
        <v>66</v>
      </c>
      <c r="C96">
        <v>632</v>
      </c>
      <c r="D96">
        <v>-632</v>
      </c>
      <c r="E96">
        <v>1565</v>
      </c>
      <c r="F96">
        <v>404</v>
      </c>
      <c r="G96">
        <v>-16</v>
      </c>
      <c r="H96">
        <v>-32</v>
      </c>
      <c r="I96">
        <v>-3</v>
      </c>
      <c r="J96">
        <v>0.1</v>
      </c>
      <c r="K96">
        <v>3697</v>
      </c>
      <c r="L96">
        <v>0.65</v>
      </c>
      <c r="M96">
        <v>4.7</v>
      </c>
      <c r="N96" t="s">
        <v>66</v>
      </c>
      <c r="O96" t="s">
        <v>19</v>
      </c>
      <c r="P96">
        <f xml:space="preserve"> Table17[[#This Row],[Unit value (USD/unit)]] * (1 + Table17[[#This Row],[Average tariff (estimated) applied by the country (%)]]/100)</f>
        <v>422.988</v>
      </c>
    </row>
    <row r="97" spans="1:16">
      <c r="A97" t="s">
        <v>120</v>
      </c>
      <c r="B97" t="s">
        <v>66</v>
      </c>
      <c r="C97">
        <v>629</v>
      </c>
      <c r="D97">
        <v>-619</v>
      </c>
      <c r="E97">
        <v>758</v>
      </c>
      <c r="F97">
        <v>830</v>
      </c>
      <c r="G97">
        <v>55</v>
      </c>
      <c r="H97">
        <v>50</v>
      </c>
      <c r="I97">
        <v>197</v>
      </c>
      <c r="J97">
        <v>0.1</v>
      </c>
      <c r="K97">
        <v>5771</v>
      </c>
      <c r="L97">
        <v>0.3</v>
      </c>
      <c r="M97">
        <v>4.2</v>
      </c>
      <c r="N97" t="s">
        <v>66</v>
      </c>
      <c r="O97" t="s">
        <v>16</v>
      </c>
      <c r="P97">
        <f xml:space="preserve"> Table17[[#This Row],[Unit value (USD/unit)]] * (1 + Table17[[#This Row],[Average tariff (estimated) applied by the country (%)]]/100)</f>
        <v>864.86</v>
      </c>
    </row>
    <row r="98" spans="1:16">
      <c r="A98" t="s">
        <v>121</v>
      </c>
      <c r="B98" t="s">
        <v>66</v>
      </c>
      <c r="C98">
        <v>613</v>
      </c>
      <c r="D98">
        <v>-613</v>
      </c>
      <c r="E98">
        <v>595</v>
      </c>
      <c r="F98">
        <v>1030</v>
      </c>
      <c r="G98">
        <v>3</v>
      </c>
      <c r="H98">
        <v>1</v>
      </c>
      <c r="I98">
        <v>-23</v>
      </c>
      <c r="J98">
        <v>0.1</v>
      </c>
      <c r="K98">
        <v>7682</v>
      </c>
      <c r="L98">
        <v>0.26</v>
      </c>
      <c r="M98">
        <v>4.0999999999999996</v>
      </c>
      <c r="N98" t="s">
        <v>66</v>
      </c>
      <c r="O98" t="s">
        <v>16</v>
      </c>
      <c r="P98">
        <f xml:space="preserve"> Table17[[#This Row],[Unit value (USD/unit)]] * (1 + Table17[[#This Row],[Average tariff (estimated) applied by the country (%)]]/100)</f>
        <v>1072.23</v>
      </c>
    </row>
    <row r="99" spans="1:16">
      <c r="A99" t="s">
        <v>122</v>
      </c>
      <c r="B99" t="s">
        <v>27</v>
      </c>
      <c r="C99">
        <v>572</v>
      </c>
      <c r="D99">
        <v>-438</v>
      </c>
      <c r="E99">
        <v>896</v>
      </c>
      <c r="F99">
        <v>638</v>
      </c>
      <c r="G99">
        <v>4</v>
      </c>
      <c r="H99">
        <v>-1</v>
      </c>
      <c r="I99">
        <v>15</v>
      </c>
      <c r="J99">
        <v>0.1</v>
      </c>
      <c r="K99">
        <v>2244</v>
      </c>
      <c r="L99">
        <v>0.35</v>
      </c>
      <c r="M99">
        <v>0</v>
      </c>
      <c r="N99" t="s">
        <v>27</v>
      </c>
      <c r="O99" t="s">
        <v>16</v>
      </c>
      <c r="P99">
        <f xml:space="preserve"> Table17[[#This Row],[Unit value (USD/unit)]] * (1 + Table17[[#This Row],[Average tariff (estimated) applied by the country (%)]]/100)</f>
        <v>638</v>
      </c>
    </row>
    <row r="100" spans="1:16">
      <c r="A100" t="s">
        <v>123</v>
      </c>
      <c r="B100" t="s">
        <v>66</v>
      </c>
      <c r="C100">
        <v>559</v>
      </c>
      <c r="D100">
        <v>-498</v>
      </c>
      <c r="E100">
        <v>1243</v>
      </c>
      <c r="F100">
        <v>450</v>
      </c>
      <c r="G100">
        <v>28</v>
      </c>
      <c r="H100">
        <v>18</v>
      </c>
      <c r="I100">
        <v>-31</v>
      </c>
      <c r="J100">
        <v>0.1</v>
      </c>
      <c r="K100">
        <v>8280</v>
      </c>
      <c r="L100">
        <v>0.32</v>
      </c>
      <c r="M100">
        <v>0</v>
      </c>
      <c r="N100" t="s">
        <v>66</v>
      </c>
      <c r="O100" t="s">
        <v>16</v>
      </c>
      <c r="P100">
        <f xml:space="preserve"> Table17[[#This Row],[Unit value (USD/unit)]] * (1 + Table17[[#This Row],[Average tariff (estimated) applied by the country (%)]]/100)</f>
        <v>450</v>
      </c>
    </row>
    <row r="101" spans="1:16">
      <c r="A101" t="s">
        <v>124</v>
      </c>
      <c r="B101" t="s">
        <v>23</v>
      </c>
      <c r="C101">
        <v>544</v>
      </c>
      <c r="D101">
        <v>-544</v>
      </c>
      <c r="E101">
        <v>728</v>
      </c>
      <c r="F101">
        <v>747</v>
      </c>
      <c r="G101">
        <v>11</v>
      </c>
      <c r="H101">
        <v>7</v>
      </c>
      <c r="I101">
        <v>1</v>
      </c>
      <c r="J101">
        <v>0.1</v>
      </c>
      <c r="K101">
        <v>4292</v>
      </c>
      <c r="L101">
        <v>0.31</v>
      </c>
      <c r="M101">
        <v>4.5</v>
      </c>
      <c r="N101" t="s">
        <v>23</v>
      </c>
      <c r="O101" t="s">
        <v>16</v>
      </c>
      <c r="P101">
        <f xml:space="preserve"> Table17[[#This Row],[Unit value (USD/unit)]] * (1 + Table17[[#This Row],[Average tariff (estimated) applied by the country (%)]]/100)</f>
        <v>780.6149999999999</v>
      </c>
    </row>
    <row r="102" spans="1:16">
      <c r="A102" t="s">
        <v>125</v>
      </c>
      <c r="B102" t="s">
        <v>66</v>
      </c>
      <c r="C102">
        <v>528</v>
      </c>
      <c r="D102">
        <v>-528</v>
      </c>
      <c r="E102">
        <v>459</v>
      </c>
      <c r="F102">
        <v>1150</v>
      </c>
      <c r="G102">
        <v>-11</v>
      </c>
      <c r="H102">
        <v>-12</v>
      </c>
      <c r="I102">
        <v>-10</v>
      </c>
      <c r="J102">
        <v>0.1</v>
      </c>
      <c r="K102">
        <v>2435</v>
      </c>
      <c r="L102">
        <v>0.62</v>
      </c>
      <c r="M102">
        <v>4.0999999999999996</v>
      </c>
      <c r="N102" t="s">
        <v>66</v>
      </c>
      <c r="O102" t="s">
        <v>19</v>
      </c>
      <c r="P102">
        <f xml:space="preserve"> Table17[[#This Row],[Unit value (USD/unit)]] * (1 + Table17[[#This Row],[Average tariff (estimated) applied by the country (%)]]/100)</f>
        <v>1197.1499999999999</v>
      </c>
    </row>
    <row r="103" spans="1:16">
      <c r="A103" t="s">
        <v>126</v>
      </c>
      <c r="B103" t="s">
        <v>66</v>
      </c>
      <c r="C103">
        <v>474</v>
      </c>
      <c r="D103">
        <v>-474</v>
      </c>
      <c r="E103">
        <v>616</v>
      </c>
      <c r="F103">
        <v>770</v>
      </c>
      <c r="G103">
        <v>-3</v>
      </c>
      <c r="H103">
        <v>4</v>
      </c>
      <c r="I103">
        <v>78</v>
      </c>
      <c r="J103">
        <v>0</v>
      </c>
      <c r="K103">
        <v>1779</v>
      </c>
      <c r="L103">
        <v>0.31</v>
      </c>
      <c r="M103">
        <v>4.5999999999999996</v>
      </c>
      <c r="N103" t="s">
        <v>66</v>
      </c>
      <c r="O103" t="s">
        <v>16</v>
      </c>
      <c r="P103">
        <f xml:space="preserve"> Table17[[#This Row],[Unit value (USD/unit)]] * (1 + Table17[[#This Row],[Average tariff (estimated) applied by the country (%)]]/100)</f>
        <v>805.42000000000007</v>
      </c>
    </row>
    <row r="104" spans="1:16">
      <c r="A104" t="s">
        <v>127</v>
      </c>
      <c r="B104" t="s">
        <v>66</v>
      </c>
      <c r="C104">
        <v>424</v>
      </c>
      <c r="D104">
        <v>-415</v>
      </c>
      <c r="E104">
        <v>429</v>
      </c>
      <c r="F104">
        <v>988</v>
      </c>
      <c r="G104">
        <v>10</v>
      </c>
      <c r="H104">
        <v>20</v>
      </c>
      <c r="I104">
        <v>56</v>
      </c>
      <c r="J104">
        <v>0</v>
      </c>
      <c r="K104">
        <v>7649</v>
      </c>
      <c r="L104">
        <v>0.28999999999999998</v>
      </c>
      <c r="M104">
        <v>0</v>
      </c>
      <c r="N104" t="s">
        <v>66</v>
      </c>
      <c r="O104" t="s">
        <v>16</v>
      </c>
      <c r="P104">
        <f xml:space="preserve"> Table17[[#This Row],[Unit value (USD/unit)]] * (1 + Table17[[#This Row],[Average tariff (estimated) applied by the country (%)]]/100)</f>
        <v>988</v>
      </c>
    </row>
    <row r="105" spans="1:16">
      <c r="A105" t="s">
        <v>128</v>
      </c>
      <c r="B105" t="s">
        <v>44</v>
      </c>
      <c r="C105">
        <v>415</v>
      </c>
      <c r="D105">
        <v>-415</v>
      </c>
      <c r="E105">
        <v>992</v>
      </c>
      <c r="F105">
        <v>418</v>
      </c>
      <c r="G105">
        <v>32</v>
      </c>
      <c r="H105">
        <v>43</v>
      </c>
      <c r="I105">
        <v>10</v>
      </c>
      <c r="J105">
        <v>0</v>
      </c>
      <c r="K105">
        <v>971</v>
      </c>
      <c r="L105">
        <v>0.87</v>
      </c>
      <c r="M105">
        <v>9.9</v>
      </c>
      <c r="N105" t="s">
        <v>44</v>
      </c>
      <c r="O105" t="s">
        <v>19</v>
      </c>
      <c r="P105">
        <f xml:space="preserve"> Table17[[#This Row],[Unit value (USD/unit)]] * (1 + Table17[[#This Row],[Average tariff (estimated) applied by the country (%)]]/100)</f>
        <v>459.38200000000001</v>
      </c>
    </row>
    <row r="106" spans="1:16">
      <c r="A106" t="s">
        <v>129</v>
      </c>
      <c r="B106" t="s">
        <v>23</v>
      </c>
      <c r="C106">
        <v>413</v>
      </c>
      <c r="D106">
        <v>-413</v>
      </c>
      <c r="E106">
        <v>647</v>
      </c>
      <c r="F106">
        <v>638</v>
      </c>
      <c r="G106">
        <v>9</v>
      </c>
      <c r="H106">
        <v>0</v>
      </c>
      <c r="I106">
        <v>-20</v>
      </c>
      <c r="J106">
        <v>0</v>
      </c>
      <c r="K106">
        <v>1732</v>
      </c>
      <c r="L106">
        <v>0.28000000000000003</v>
      </c>
      <c r="M106">
        <v>4.5</v>
      </c>
      <c r="N106" t="s">
        <v>23</v>
      </c>
      <c r="O106" t="s">
        <v>16</v>
      </c>
      <c r="P106">
        <f xml:space="preserve"> Table17[[#This Row],[Unit value (USD/unit)]] * (1 + Table17[[#This Row],[Average tariff (estimated) applied by the country (%)]]/100)</f>
        <v>666.70999999999992</v>
      </c>
    </row>
    <row r="107" spans="1:16">
      <c r="A107" t="s">
        <v>130</v>
      </c>
      <c r="B107" t="s">
        <v>15</v>
      </c>
      <c r="C107">
        <v>386</v>
      </c>
      <c r="D107">
        <v>-242</v>
      </c>
      <c r="E107">
        <v>447</v>
      </c>
      <c r="F107">
        <v>864</v>
      </c>
      <c r="G107">
        <v>28</v>
      </c>
      <c r="H107">
        <v>27</v>
      </c>
      <c r="I107">
        <v>10</v>
      </c>
      <c r="J107">
        <v>0</v>
      </c>
      <c r="K107">
        <v>812</v>
      </c>
      <c r="L107">
        <v>0.3</v>
      </c>
      <c r="M107">
        <v>1.8</v>
      </c>
      <c r="N107" t="s">
        <v>15</v>
      </c>
      <c r="O107" t="s">
        <v>16</v>
      </c>
      <c r="P107">
        <f xml:space="preserve"> Table17[[#This Row],[Unit value (USD/unit)]] * (1 + Table17[[#This Row],[Average tariff (estimated) applied by the country (%)]]/100)</f>
        <v>879.55200000000002</v>
      </c>
    </row>
    <row r="108" spans="1:16">
      <c r="A108" t="s">
        <v>131</v>
      </c>
      <c r="B108" t="s">
        <v>25</v>
      </c>
      <c r="C108">
        <v>367</v>
      </c>
      <c r="D108">
        <v>-367</v>
      </c>
      <c r="E108">
        <v>1332</v>
      </c>
      <c r="F108">
        <v>276</v>
      </c>
      <c r="G108">
        <v>-6</v>
      </c>
      <c r="H108">
        <v>-9</v>
      </c>
      <c r="I108">
        <v>-72</v>
      </c>
      <c r="J108">
        <v>0</v>
      </c>
      <c r="K108">
        <v>681</v>
      </c>
      <c r="L108">
        <v>0.61</v>
      </c>
      <c r="M108">
        <v>1.4</v>
      </c>
      <c r="N108" t="s">
        <v>25</v>
      </c>
      <c r="O108" t="s">
        <v>19</v>
      </c>
      <c r="P108">
        <f xml:space="preserve"> Table17[[#This Row],[Unit value (USD/unit)]] * (1 + Table17[[#This Row],[Average tariff (estimated) applied by the country (%)]]/100)</f>
        <v>279.86399999999998</v>
      </c>
    </row>
    <row r="109" spans="1:16">
      <c r="A109" t="s">
        <v>132</v>
      </c>
      <c r="B109" t="s">
        <v>23</v>
      </c>
      <c r="C109">
        <v>362</v>
      </c>
      <c r="D109">
        <v>-362</v>
      </c>
      <c r="E109">
        <v>434</v>
      </c>
      <c r="F109">
        <v>834</v>
      </c>
      <c r="G109">
        <v>2</v>
      </c>
      <c r="H109">
        <v>-15</v>
      </c>
      <c r="I109">
        <v>-39</v>
      </c>
      <c r="J109">
        <v>0</v>
      </c>
      <c r="K109">
        <v>4500</v>
      </c>
      <c r="L109">
        <v>0.15</v>
      </c>
      <c r="M109">
        <v>4.5</v>
      </c>
      <c r="N109" t="s">
        <v>23</v>
      </c>
      <c r="O109" t="s">
        <v>16</v>
      </c>
      <c r="P109">
        <f xml:space="preserve"> Table17[[#This Row],[Unit value (USD/unit)]] * (1 + Table17[[#This Row],[Average tariff (estimated) applied by the country (%)]]/100)</f>
        <v>871.53</v>
      </c>
    </row>
    <row r="110" spans="1:16">
      <c r="A110" t="s">
        <v>133</v>
      </c>
      <c r="B110" t="s">
        <v>38</v>
      </c>
      <c r="C110">
        <v>341</v>
      </c>
      <c r="D110">
        <v>17</v>
      </c>
      <c r="E110">
        <v>369</v>
      </c>
      <c r="F110">
        <v>925</v>
      </c>
      <c r="G110">
        <v>46</v>
      </c>
      <c r="H110">
        <v>19</v>
      </c>
      <c r="I110">
        <v>-17</v>
      </c>
      <c r="J110">
        <v>0</v>
      </c>
      <c r="K110">
        <v>10439</v>
      </c>
      <c r="L110">
        <v>0.2</v>
      </c>
      <c r="M110">
        <v>9.6</v>
      </c>
      <c r="N110" t="s">
        <v>38</v>
      </c>
      <c r="O110" t="s">
        <v>16</v>
      </c>
      <c r="P110">
        <f xml:space="preserve"> Table17[[#This Row],[Unit value (USD/unit)]] * (1 + Table17[[#This Row],[Average tariff (estimated) applied by the country (%)]]/100)</f>
        <v>1013.8000000000001</v>
      </c>
    </row>
    <row r="111" spans="1:16">
      <c r="A111" t="s">
        <v>134</v>
      </c>
      <c r="B111" t="s">
        <v>18</v>
      </c>
      <c r="C111">
        <v>338</v>
      </c>
      <c r="D111">
        <v>-38</v>
      </c>
      <c r="E111">
        <v>347</v>
      </c>
      <c r="F111">
        <v>974</v>
      </c>
      <c r="G111">
        <v>-4</v>
      </c>
      <c r="H111">
        <v>-10</v>
      </c>
      <c r="I111">
        <v>15</v>
      </c>
      <c r="J111">
        <v>0</v>
      </c>
      <c r="K111">
        <v>10034</v>
      </c>
      <c r="L111">
        <v>0.26</v>
      </c>
      <c r="M111">
        <v>0</v>
      </c>
      <c r="N111" t="s">
        <v>18</v>
      </c>
      <c r="O111" t="s">
        <v>16</v>
      </c>
      <c r="P111">
        <f xml:space="preserve"> Table17[[#This Row],[Unit value (USD/unit)]] * (1 + Table17[[#This Row],[Average tariff (estimated) applied by the country (%)]]/100)</f>
        <v>974</v>
      </c>
    </row>
    <row r="112" spans="1:16">
      <c r="A112" t="s">
        <v>135</v>
      </c>
      <c r="B112" t="s">
        <v>15</v>
      </c>
      <c r="C112">
        <v>306</v>
      </c>
      <c r="D112">
        <v>-283</v>
      </c>
      <c r="E112">
        <v>280</v>
      </c>
      <c r="F112">
        <v>1093</v>
      </c>
      <c r="G112">
        <v>15</v>
      </c>
      <c r="H112">
        <v>4</v>
      </c>
      <c r="I112">
        <v>13</v>
      </c>
      <c r="J112">
        <v>0</v>
      </c>
      <c r="K112">
        <v>1106</v>
      </c>
      <c r="L112">
        <v>0.32</v>
      </c>
      <c r="M112">
        <v>2.4</v>
      </c>
      <c r="N112" t="s">
        <v>15</v>
      </c>
      <c r="O112" t="s">
        <v>16</v>
      </c>
      <c r="P112">
        <f xml:space="preserve"> Table17[[#This Row],[Unit value (USD/unit)]] * (1 + Table17[[#This Row],[Average tariff (estimated) applied by the country (%)]]/100)</f>
        <v>1119.232</v>
      </c>
    </row>
    <row r="113" spans="1:16">
      <c r="A113" t="s">
        <v>136</v>
      </c>
      <c r="B113" t="s">
        <v>15</v>
      </c>
      <c r="C113">
        <v>288</v>
      </c>
      <c r="D113">
        <v>-288</v>
      </c>
      <c r="E113">
        <v>200</v>
      </c>
      <c r="F113">
        <v>1440</v>
      </c>
      <c r="G113">
        <v>9</v>
      </c>
      <c r="H113">
        <v>38</v>
      </c>
      <c r="I113">
        <v>36</v>
      </c>
      <c r="J113">
        <v>0</v>
      </c>
      <c r="K113">
        <v>1551</v>
      </c>
      <c r="L113">
        <v>0.49</v>
      </c>
      <c r="M113">
        <v>0</v>
      </c>
      <c r="N113" t="s">
        <v>15</v>
      </c>
      <c r="O113" t="s">
        <v>16</v>
      </c>
      <c r="P113">
        <f xml:space="preserve"> Table17[[#This Row],[Unit value (USD/unit)]] * (1 + Table17[[#This Row],[Average tariff (estimated) applied by the country (%)]]/100)</f>
        <v>1440</v>
      </c>
    </row>
    <row r="114" spans="1:16">
      <c r="A114" t="s">
        <v>137</v>
      </c>
      <c r="B114" t="s">
        <v>18</v>
      </c>
      <c r="C114">
        <v>276</v>
      </c>
      <c r="D114">
        <v>-276</v>
      </c>
      <c r="E114">
        <v>210</v>
      </c>
      <c r="F114">
        <v>1315</v>
      </c>
      <c r="G114">
        <v>42</v>
      </c>
      <c r="H114">
        <v>81</v>
      </c>
      <c r="I114">
        <v>12</v>
      </c>
      <c r="J114">
        <v>0</v>
      </c>
      <c r="K114">
        <v>3740</v>
      </c>
      <c r="L114">
        <v>0.56000000000000005</v>
      </c>
      <c r="M114">
        <v>0</v>
      </c>
      <c r="N114" t="s">
        <v>18</v>
      </c>
      <c r="O114" t="s">
        <v>19</v>
      </c>
      <c r="P114">
        <f xml:space="preserve"> Table17[[#This Row],[Unit value (USD/unit)]] * (1 + Table17[[#This Row],[Average tariff (estimated) applied by the country (%)]]/100)</f>
        <v>1315</v>
      </c>
    </row>
    <row r="115" spans="1:16">
      <c r="A115" t="s">
        <v>138</v>
      </c>
      <c r="B115" t="s">
        <v>44</v>
      </c>
      <c r="C115">
        <v>248</v>
      </c>
      <c r="D115">
        <v>27143</v>
      </c>
      <c r="E115">
        <v>247</v>
      </c>
      <c r="F115">
        <v>1004</v>
      </c>
      <c r="G115">
        <v>-20</v>
      </c>
      <c r="H115">
        <v>-38</v>
      </c>
      <c r="I115">
        <v>20</v>
      </c>
      <c r="J115">
        <v>0</v>
      </c>
      <c r="K115">
        <v>2020</v>
      </c>
      <c r="L115">
        <v>0.37</v>
      </c>
      <c r="M115">
        <v>10</v>
      </c>
      <c r="N115" t="s">
        <v>44</v>
      </c>
      <c r="O115" t="s">
        <v>16</v>
      </c>
      <c r="P115">
        <f xml:space="preserve"> Table17[[#This Row],[Unit value (USD/unit)]] * (1 + Table17[[#This Row],[Average tariff (estimated) applied by the country (%)]]/100)</f>
        <v>1104.4000000000001</v>
      </c>
    </row>
    <row r="116" spans="1:16">
      <c r="A116" t="s">
        <v>139</v>
      </c>
      <c r="B116" t="s">
        <v>66</v>
      </c>
      <c r="C116">
        <v>228</v>
      </c>
      <c r="D116">
        <v>-228</v>
      </c>
      <c r="E116">
        <v>393</v>
      </c>
      <c r="F116">
        <v>580</v>
      </c>
      <c r="G116">
        <v>17</v>
      </c>
      <c r="H116">
        <v>15</v>
      </c>
      <c r="I116">
        <v>53</v>
      </c>
      <c r="J116">
        <v>0</v>
      </c>
      <c r="K116">
        <v>9579</v>
      </c>
      <c r="L116">
        <v>0.5</v>
      </c>
      <c r="M116">
        <v>4.0999999999999996</v>
      </c>
      <c r="N116" t="s">
        <v>66</v>
      </c>
      <c r="O116" t="s">
        <v>16</v>
      </c>
      <c r="P116">
        <f xml:space="preserve"> Table17[[#This Row],[Unit value (USD/unit)]] * (1 + Table17[[#This Row],[Average tariff (estimated) applied by the country (%)]]/100)</f>
        <v>603.78</v>
      </c>
    </row>
    <row r="117" spans="1:16">
      <c r="A117" t="s">
        <v>140</v>
      </c>
      <c r="B117" t="s">
        <v>15</v>
      </c>
      <c r="C117">
        <v>225</v>
      </c>
      <c r="D117">
        <v>-225</v>
      </c>
      <c r="E117">
        <v>71</v>
      </c>
      <c r="F117">
        <v>3169</v>
      </c>
      <c r="G117">
        <v>18</v>
      </c>
      <c r="H117">
        <v>15</v>
      </c>
      <c r="I117">
        <v>30</v>
      </c>
      <c r="J117">
        <v>0</v>
      </c>
      <c r="K117">
        <v>2146</v>
      </c>
      <c r="L117">
        <v>0.23</v>
      </c>
      <c r="M117">
        <v>0</v>
      </c>
      <c r="N117" t="s">
        <v>15</v>
      </c>
      <c r="O117" t="s">
        <v>16</v>
      </c>
      <c r="P117">
        <f xml:space="preserve"> Table17[[#This Row],[Unit value (USD/unit)]] * (1 + Table17[[#This Row],[Average tariff (estimated) applied by the country (%)]]/100)</f>
        <v>3169</v>
      </c>
    </row>
    <row r="118" spans="1:16">
      <c r="A118" t="s">
        <v>141</v>
      </c>
      <c r="B118" t="s">
        <v>15</v>
      </c>
      <c r="C118">
        <v>222</v>
      </c>
      <c r="D118">
        <v>-222</v>
      </c>
      <c r="E118">
        <v>164</v>
      </c>
      <c r="F118">
        <v>1354</v>
      </c>
      <c r="G118">
        <v>7</v>
      </c>
      <c r="H118">
        <v>-8</v>
      </c>
      <c r="I118">
        <v>-8</v>
      </c>
      <c r="J118">
        <v>0</v>
      </c>
      <c r="K118">
        <v>820</v>
      </c>
      <c r="L118">
        <v>0.15</v>
      </c>
      <c r="M118">
        <v>0</v>
      </c>
      <c r="N118" t="s">
        <v>15</v>
      </c>
      <c r="O118" t="s">
        <v>16</v>
      </c>
      <c r="P118">
        <f xml:space="preserve"> Table17[[#This Row],[Unit value (USD/unit)]] * (1 + Table17[[#This Row],[Average tariff (estimated) applied by the country (%)]]/100)</f>
        <v>1354</v>
      </c>
    </row>
    <row r="119" spans="1:16">
      <c r="A119" t="s">
        <v>142</v>
      </c>
      <c r="B119" t="s">
        <v>23</v>
      </c>
      <c r="C119">
        <v>221</v>
      </c>
      <c r="D119">
        <v>-175</v>
      </c>
      <c r="E119">
        <v>177</v>
      </c>
      <c r="F119">
        <v>1249</v>
      </c>
      <c r="G119">
        <v>7</v>
      </c>
      <c r="H119">
        <v>-8</v>
      </c>
      <c r="I119">
        <v>-35</v>
      </c>
      <c r="J119">
        <v>0</v>
      </c>
      <c r="K119">
        <v>2508</v>
      </c>
      <c r="L119">
        <v>0.33</v>
      </c>
      <c r="M119">
        <v>4.8</v>
      </c>
      <c r="N119" t="s">
        <v>23</v>
      </c>
      <c r="O119" t="s">
        <v>16</v>
      </c>
      <c r="P119">
        <f xml:space="preserve"> Table17[[#This Row],[Unit value (USD/unit)]] * (1 + Table17[[#This Row],[Average tariff (estimated) applied by the country (%)]]/100)</f>
        <v>1308.952</v>
      </c>
    </row>
    <row r="120" spans="1:16">
      <c r="A120" t="s">
        <v>143</v>
      </c>
      <c r="B120" t="s">
        <v>23</v>
      </c>
      <c r="C120">
        <v>216</v>
      </c>
      <c r="D120">
        <v>-216</v>
      </c>
      <c r="E120">
        <v>350</v>
      </c>
      <c r="F120">
        <v>617</v>
      </c>
      <c r="G120">
        <v>14</v>
      </c>
      <c r="H120">
        <v>20</v>
      </c>
      <c r="I120">
        <v>-44</v>
      </c>
      <c r="J120">
        <v>0</v>
      </c>
      <c r="K120">
        <v>1806</v>
      </c>
      <c r="L120">
        <v>0.39</v>
      </c>
      <c r="M120">
        <v>0</v>
      </c>
      <c r="N120" t="s">
        <v>23</v>
      </c>
      <c r="O120" t="s">
        <v>16</v>
      </c>
      <c r="P120">
        <f xml:space="preserve"> Table17[[#This Row],[Unit value (USD/unit)]] * (1 + Table17[[#This Row],[Average tariff (estimated) applied by the country (%)]]/100)</f>
        <v>617</v>
      </c>
    </row>
    <row r="121" spans="1:16">
      <c r="A121" t="s">
        <v>144</v>
      </c>
      <c r="B121" t="s">
        <v>15</v>
      </c>
      <c r="C121">
        <v>205</v>
      </c>
      <c r="D121">
        <v>-205</v>
      </c>
      <c r="E121">
        <v>249</v>
      </c>
      <c r="F121">
        <v>823</v>
      </c>
      <c r="G121">
        <v>24</v>
      </c>
      <c r="H121">
        <v>27</v>
      </c>
      <c r="I121">
        <v>-63</v>
      </c>
      <c r="J121">
        <v>0</v>
      </c>
      <c r="K121">
        <v>2620</v>
      </c>
      <c r="L121">
        <v>0.45</v>
      </c>
      <c r="M121">
        <v>1.8</v>
      </c>
      <c r="N121" t="s">
        <v>15</v>
      </c>
      <c r="O121" t="s">
        <v>16</v>
      </c>
      <c r="P121">
        <f xml:space="preserve"> Table17[[#This Row],[Unit value (USD/unit)]] * (1 + Table17[[#This Row],[Average tariff (estimated) applied by the country (%)]]/100)</f>
        <v>837.81399999999996</v>
      </c>
    </row>
    <row r="122" spans="1:16">
      <c r="A122" t="s">
        <v>145</v>
      </c>
      <c r="B122" t="s">
        <v>18</v>
      </c>
      <c r="C122">
        <v>200</v>
      </c>
      <c r="D122">
        <v>-182</v>
      </c>
      <c r="E122">
        <v>158</v>
      </c>
      <c r="F122">
        <v>1266</v>
      </c>
      <c r="G122">
        <v>8</v>
      </c>
      <c r="H122">
        <v>3</v>
      </c>
      <c r="I122">
        <v>-19</v>
      </c>
      <c r="J122">
        <v>0</v>
      </c>
      <c r="K122">
        <v>5946</v>
      </c>
      <c r="L122">
        <v>0.25</v>
      </c>
      <c r="M122">
        <v>0</v>
      </c>
      <c r="N122" t="s">
        <v>18</v>
      </c>
      <c r="O122" t="s">
        <v>16</v>
      </c>
      <c r="P122">
        <f xml:space="preserve"> Table17[[#This Row],[Unit value (USD/unit)]] * (1 + Table17[[#This Row],[Average tariff (estimated) applied by the country (%)]]/100)</f>
        <v>1266</v>
      </c>
    </row>
    <row r="123" spans="1:16">
      <c r="A123" t="s">
        <v>146</v>
      </c>
      <c r="B123" t="s">
        <v>66</v>
      </c>
      <c r="C123">
        <v>188</v>
      </c>
      <c r="D123">
        <v>-188</v>
      </c>
      <c r="E123">
        <v>134</v>
      </c>
      <c r="F123">
        <v>1403</v>
      </c>
      <c r="G123">
        <v>9</v>
      </c>
      <c r="H123">
        <v>9</v>
      </c>
      <c r="I123">
        <v>6</v>
      </c>
      <c r="J123">
        <v>0</v>
      </c>
      <c r="K123">
        <v>2029</v>
      </c>
      <c r="L123">
        <v>0.94</v>
      </c>
      <c r="M123">
        <v>0</v>
      </c>
      <c r="N123" t="s">
        <v>66</v>
      </c>
      <c r="O123" t="s">
        <v>19</v>
      </c>
      <c r="P123">
        <f xml:space="preserve"> Table17[[#This Row],[Unit value (USD/unit)]] * (1 + Table17[[#This Row],[Average tariff (estimated) applied by the country (%)]]/100)</f>
        <v>1403</v>
      </c>
    </row>
    <row r="124" spans="1:16">
      <c r="A124" t="s">
        <v>147</v>
      </c>
      <c r="B124" t="s">
        <v>18</v>
      </c>
      <c r="C124">
        <v>182</v>
      </c>
      <c r="D124">
        <v>-182</v>
      </c>
      <c r="E124">
        <v>54</v>
      </c>
      <c r="F124">
        <v>3370</v>
      </c>
      <c r="G124">
        <v>14</v>
      </c>
      <c r="H124">
        <v>6</v>
      </c>
      <c r="I124">
        <v>-4</v>
      </c>
      <c r="J124">
        <v>0</v>
      </c>
      <c r="K124">
        <v>4229</v>
      </c>
      <c r="L124">
        <v>0.93</v>
      </c>
      <c r="M124">
        <v>4.2</v>
      </c>
      <c r="N124" t="s">
        <v>18</v>
      </c>
      <c r="O124" t="s">
        <v>19</v>
      </c>
      <c r="P124">
        <f xml:space="preserve"> Table17[[#This Row],[Unit value (USD/unit)]] * (1 + Table17[[#This Row],[Average tariff (estimated) applied by the country (%)]]/100)</f>
        <v>3511.54</v>
      </c>
    </row>
    <row r="125" spans="1:16">
      <c r="A125" t="s">
        <v>148</v>
      </c>
      <c r="B125" t="s">
        <v>44</v>
      </c>
      <c r="C125">
        <v>178</v>
      </c>
      <c r="D125">
        <v>-178</v>
      </c>
      <c r="E125">
        <v>287</v>
      </c>
      <c r="F125">
        <v>620</v>
      </c>
      <c r="G125">
        <v>33</v>
      </c>
      <c r="H125">
        <v>4</v>
      </c>
      <c r="I125">
        <v>19</v>
      </c>
      <c r="J125">
        <v>0</v>
      </c>
      <c r="K125">
        <v>2850</v>
      </c>
      <c r="L125">
        <v>0.48</v>
      </c>
      <c r="M125">
        <v>1.8</v>
      </c>
      <c r="N125" t="s">
        <v>44</v>
      </c>
      <c r="O125" t="s">
        <v>16</v>
      </c>
      <c r="P125">
        <f xml:space="preserve"> Table17[[#This Row],[Unit value (USD/unit)]] * (1 + Table17[[#This Row],[Average tariff (estimated) applied by the country (%)]]/100)</f>
        <v>631.16</v>
      </c>
    </row>
    <row r="126" spans="1:16">
      <c r="A126" t="s">
        <v>149</v>
      </c>
      <c r="B126" t="s">
        <v>15</v>
      </c>
      <c r="C126">
        <v>170</v>
      </c>
      <c r="D126">
        <v>-135</v>
      </c>
      <c r="E126">
        <v>556</v>
      </c>
      <c r="F126">
        <v>306</v>
      </c>
      <c r="G126">
        <v>6</v>
      </c>
      <c r="H126">
        <v>8</v>
      </c>
      <c r="I126">
        <v>6</v>
      </c>
      <c r="J126">
        <v>0</v>
      </c>
      <c r="K126">
        <v>232</v>
      </c>
      <c r="L126">
        <v>0.51</v>
      </c>
      <c r="M126">
        <v>1.8</v>
      </c>
      <c r="N126" t="s">
        <v>15</v>
      </c>
      <c r="O126" t="s">
        <v>19</v>
      </c>
      <c r="P126">
        <f xml:space="preserve"> Table17[[#This Row],[Unit value (USD/unit)]] * (1 + Table17[[#This Row],[Average tariff (estimated) applied by the country (%)]]/100)</f>
        <v>311.50799999999998</v>
      </c>
    </row>
    <row r="127" spans="1:16">
      <c r="A127" t="s">
        <v>150</v>
      </c>
      <c r="B127" t="s">
        <v>15</v>
      </c>
      <c r="C127">
        <v>170</v>
      </c>
      <c r="D127">
        <v>-164</v>
      </c>
      <c r="E127">
        <v>193</v>
      </c>
      <c r="F127">
        <v>881</v>
      </c>
      <c r="G127">
        <v>0</v>
      </c>
      <c r="H127">
        <v>4</v>
      </c>
      <c r="I127">
        <v>-3</v>
      </c>
      <c r="J127">
        <v>0</v>
      </c>
      <c r="K127">
        <v>974</v>
      </c>
      <c r="L127">
        <v>0.23</v>
      </c>
      <c r="M127">
        <v>0</v>
      </c>
      <c r="N127" t="s">
        <v>15</v>
      </c>
      <c r="O127" t="s">
        <v>16</v>
      </c>
      <c r="P127">
        <f xml:space="preserve"> Table17[[#This Row],[Unit value (USD/unit)]] * (1 + Table17[[#This Row],[Average tariff (estimated) applied by the country (%)]]/100)</f>
        <v>881</v>
      </c>
    </row>
    <row r="128" spans="1:16">
      <c r="A128" t="s">
        <v>151</v>
      </c>
      <c r="B128" t="s">
        <v>15</v>
      </c>
      <c r="C128">
        <v>167</v>
      </c>
      <c r="D128">
        <v>-167</v>
      </c>
      <c r="E128">
        <v>223</v>
      </c>
      <c r="F128">
        <v>750</v>
      </c>
      <c r="G128">
        <v>17</v>
      </c>
      <c r="H128">
        <v>4</v>
      </c>
      <c r="I128">
        <v>30</v>
      </c>
      <c r="J128">
        <v>0</v>
      </c>
      <c r="K128">
        <v>1755</v>
      </c>
      <c r="L128">
        <v>0.39</v>
      </c>
      <c r="M128">
        <v>0.6</v>
      </c>
      <c r="N128" t="s">
        <v>15</v>
      </c>
      <c r="O128" t="s">
        <v>16</v>
      </c>
      <c r="P128">
        <f xml:space="preserve"> Table17[[#This Row],[Unit value (USD/unit)]] * (1 + Table17[[#This Row],[Average tariff (estimated) applied by the country (%)]]/100)</f>
        <v>754.5</v>
      </c>
    </row>
    <row r="129" spans="1:16">
      <c r="A129" t="s">
        <v>152</v>
      </c>
      <c r="B129" t="s">
        <v>27</v>
      </c>
      <c r="C129">
        <v>157</v>
      </c>
      <c r="D129">
        <v>-157</v>
      </c>
      <c r="E129">
        <v>172</v>
      </c>
      <c r="F129">
        <v>913</v>
      </c>
      <c r="G129">
        <v>14</v>
      </c>
      <c r="H129">
        <v>12</v>
      </c>
      <c r="I129">
        <v>-55</v>
      </c>
      <c r="J129">
        <v>0</v>
      </c>
      <c r="K129">
        <v>2866</v>
      </c>
      <c r="L129">
        <v>0.45</v>
      </c>
      <c r="M129">
        <v>5</v>
      </c>
      <c r="N129" t="s">
        <v>27</v>
      </c>
      <c r="O129" t="s">
        <v>16</v>
      </c>
      <c r="P129">
        <f xml:space="preserve"> Table17[[#This Row],[Unit value (USD/unit)]] * (1 + Table17[[#This Row],[Average tariff (estimated) applied by the country (%)]]/100)</f>
        <v>958.65000000000009</v>
      </c>
    </row>
    <row r="130" spans="1:16">
      <c r="A130" t="s">
        <v>153</v>
      </c>
      <c r="B130" t="s">
        <v>58</v>
      </c>
      <c r="C130">
        <v>152</v>
      </c>
      <c r="D130">
        <v>-152</v>
      </c>
      <c r="E130">
        <v>94</v>
      </c>
      <c r="F130">
        <v>1617</v>
      </c>
      <c r="G130">
        <v>42</v>
      </c>
      <c r="H130">
        <v>34</v>
      </c>
      <c r="I130">
        <v>56</v>
      </c>
      <c r="J130">
        <v>0</v>
      </c>
      <c r="K130">
        <v>4623</v>
      </c>
      <c r="L130">
        <v>0.51</v>
      </c>
      <c r="M130">
        <v>4.9000000000000004</v>
      </c>
      <c r="N130" t="s">
        <v>58</v>
      </c>
      <c r="O130" t="s">
        <v>19</v>
      </c>
      <c r="P130">
        <f xml:space="preserve"> Table17[[#This Row],[Unit value (USD/unit)]] * (1 + Table17[[#This Row],[Average tariff (estimated) applied by the country (%)]]/100)</f>
        <v>1696.2329999999999</v>
      </c>
    </row>
    <row r="131" spans="1:16">
      <c r="A131" t="s">
        <v>154</v>
      </c>
      <c r="B131" t="s">
        <v>66</v>
      </c>
      <c r="C131">
        <v>147</v>
      </c>
      <c r="D131">
        <v>-147</v>
      </c>
      <c r="E131">
        <v>146</v>
      </c>
      <c r="F131">
        <v>1007</v>
      </c>
      <c r="G131">
        <v>27</v>
      </c>
      <c r="H131">
        <v>39</v>
      </c>
      <c r="I131">
        <v>-66</v>
      </c>
      <c r="J131">
        <v>0</v>
      </c>
      <c r="K131">
        <v>8001</v>
      </c>
      <c r="L131">
        <v>0.47</v>
      </c>
      <c r="M131">
        <v>0</v>
      </c>
      <c r="N131" t="s">
        <v>66</v>
      </c>
      <c r="O131" t="s">
        <v>16</v>
      </c>
      <c r="P131">
        <f xml:space="preserve"> Table17[[#This Row],[Unit value (USD/unit)]] * (1 + Table17[[#This Row],[Average tariff (estimated) applied by the country (%)]]/100)</f>
        <v>1007</v>
      </c>
    </row>
    <row r="132" spans="1:16">
      <c r="A132" t="s">
        <v>155</v>
      </c>
      <c r="B132" t="s">
        <v>66</v>
      </c>
      <c r="C132">
        <v>123</v>
      </c>
      <c r="D132">
        <v>-123</v>
      </c>
      <c r="E132">
        <v>120</v>
      </c>
      <c r="F132">
        <v>1025</v>
      </c>
      <c r="G132">
        <v>-8</v>
      </c>
      <c r="H132">
        <v>4</v>
      </c>
      <c r="I132">
        <v>-44</v>
      </c>
      <c r="J132">
        <v>0</v>
      </c>
      <c r="K132">
        <v>6049</v>
      </c>
      <c r="L132">
        <v>0.19</v>
      </c>
      <c r="M132">
        <v>4.9000000000000004</v>
      </c>
      <c r="N132" t="s">
        <v>66</v>
      </c>
      <c r="O132" t="s">
        <v>16</v>
      </c>
      <c r="P132">
        <f xml:space="preserve"> Table17[[#This Row],[Unit value (USD/unit)]] * (1 + Table17[[#This Row],[Average tariff (estimated) applied by the country (%)]]/100)</f>
        <v>1075.2249999999999</v>
      </c>
    </row>
    <row r="133" spans="1:16">
      <c r="A133" t="s">
        <v>156</v>
      </c>
      <c r="B133" t="s">
        <v>44</v>
      </c>
      <c r="C133">
        <v>120</v>
      </c>
      <c r="D133">
        <v>-120</v>
      </c>
      <c r="E133">
        <v>84</v>
      </c>
      <c r="F133">
        <v>1429</v>
      </c>
      <c r="G133">
        <v>21</v>
      </c>
      <c r="H133">
        <v>24</v>
      </c>
      <c r="I133">
        <v>-11</v>
      </c>
      <c r="J133">
        <v>0</v>
      </c>
      <c r="K133">
        <v>1984</v>
      </c>
      <c r="L133">
        <v>0.36</v>
      </c>
      <c r="M133">
        <v>4.7</v>
      </c>
      <c r="N133" t="s">
        <v>44</v>
      </c>
      <c r="O133" t="s">
        <v>16</v>
      </c>
      <c r="P133">
        <f xml:space="preserve"> Table17[[#This Row],[Unit value (USD/unit)]] * (1 + Table17[[#This Row],[Average tariff (estimated) applied by the country (%)]]/100)</f>
        <v>1496.163</v>
      </c>
    </row>
    <row r="134" spans="1:16">
      <c r="A134" t="s">
        <v>157</v>
      </c>
      <c r="B134" t="s">
        <v>66</v>
      </c>
      <c r="C134">
        <v>119</v>
      </c>
      <c r="D134">
        <v>-119</v>
      </c>
      <c r="E134">
        <v>126</v>
      </c>
      <c r="F134">
        <v>944</v>
      </c>
      <c r="G134">
        <v>8</v>
      </c>
      <c r="H134">
        <v>13</v>
      </c>
      <c r="I134">
        <v>16</v>
      </c>
      <c r="J134">
        <v>0</v>
      </c>
      <c r="K134">
        <v>5457</v>
      </c>
      <c r="L134">
        <v>0.41</v>
      </c>
      <c r="M134">
        <v>2.4</v>
      </c>
      <c r="N134" t="s">
        <v>66</v>
      </c>
      <c r="O134" t="s">
        <v>16</v>
      </c>
      <c r="P134">
        <f xml:space="preserve"> Table17[[#This Row],[Unit value (USD/unit)]] * (1 + Table17[[#This Row],[Average tariff (estimated) applied by the country (%)]]/100)</f>
        <v>966.65600000000006</v>
      </c>
    </row>
    <row r="135" spans="1:16">
      <c r="A135" t="s">
        <v>158</v>
      </c>
      <c r="B135" t="s">
        <v>15</v>
      </c>
      <c r="C135">
        <v>114</v>
      </c>
      <c r="D135">
        <v>-114</v>
      </c>
      <c r="E135">
        <v>123</v>
      </c>
      <c r="F135">
        <v>927</v>
      </c>
      <c r="G135">
        <v>20</v>
      </c>
      <c r="H135">
        <v>10</v>
      </c>
      <c r="I135">
        <v>-1</v>
      </c>
      <c r="J135">
        <v>0</v>
      </c>
      <c r="K135">
        <v>762</v>
      </c>
      <c r="L135">
        <v>0.78</v>
      </c>
      <c r="M135">
        <v>1.7</v>
      </c>
      <c r="N135" t="s">
        <v>15</v>
      </c>
      <c r="O135" t="s">
        <v>19</v>
      </c>
      <c r="P135">
        <f xml:space="preserve"> Table17[[#This Row],[Unit value (USD/unit)]] * (1 + Table17[[#This Row],[Average tariff (estimated) applied by the country (%)]]/100)</f>
        <v>942.7589999999999</v>
      </c>
    </row>
    <row r="136" spans="1:16">
      <c r="A136" t="s">
        <v>159</v>
      </c>
      <c r="B136" t="s">
        <v>66</v>
      </c>
      <c r="C136">
        <v>97</v>
      </c>
      <c r="D136">
        <v>-97</v>
      </c>
      <c r="E136">
        <v>90</v>
      </c>
      <c r="F136">
        <v>1078</v>
      </c>
      <c r="G136">
        <v>26</v>
      </c>
      <c r="H136">
        <v>20</v>
      </c>
      <c r="I136">
        <v>52</v>
      </c>
      <c r="J136">
        <v>0</v>
      </c>
      <c r="K136">
        <v>1940</v>
      </c>
      <c r="L136">
        <v>0.6</v>
      </c>
      <c r="M136">
        <v>0</v>
      </c>
      <c r="N136" t="s">
        <v>66</v>
      </c>
      <c r="O136" t="s">
        <v>19</v>
      </c>
      <c r="P136">
        <f xml:space="preserve"> Table17[[#This Row],[Unit value (USD/unit)]] * (1 + Table17[[#This Row],[Average tariff (estimated) applied by the country (%)]]/100)</f>
        <v>1078</v>
      </c>
    </row>
    <row r="137" spans="1:16">
      <c r="A137" t="s">
        <v>160</v>
      </c>
      <c r="B137" t="s">
        <v>66</v>
      </c>
      <c r="C137">
        <v>96</v>
      </c>
      <c r="D137">
        <v>-94</v>
      </c>
      <c r="E137">
        <v>225</v>
      </c>
      <c r="F137">
        <v>427</v>
      </c>
      <c r="G137">
        <v>-30</v>
      </c>
      <c r="H137">
        <v>25</v>
      </c>
      <c r="I137">
        <v>-18</v>
      </c>
      <c r="J137">
        <v>0</v>
      </c>
      <c r="K137">
        <v>6747</v>
      </c>
      <c r="L137">
        <v>0.66</v>
      </c>
      <c r="M137">
        <v>26</v>
      </c>
      <c r="N137" t="s">
        <v>66</v>
      </c>
      <c r="O137" t="s">
        <v>19</v>
      </c>
      <c r="P137">
        <f xml:space="preserve"> Table17[[#This Row],[Unit value (USD/unit)]] * (1 + Table17[[#This Row],[Average tariff (estimated) applied by the country (%)]]/100)</f>
        <v>538.02</v>
      </c>
    </row>
    <row r="138" spans="1:16">
      <c r="A138" t="s">
        <v>161</v>
      </c>
      <c r="B138" t="s">
        <v>66</v>
      </c>
      <c r="C138">
        <v>86</v>
      </c>
      <c r="D138">
        <v>-86</v>
      </c>
      <c r="E138">
        <v>22</v>
      </c>
      <c r="F138">
        <v>3909</v>
      </c>
      <c r="G138">
        <v>12</v>
      </c>
      <c r="H138">
        <v>14</v>
      </c>
      <c r="I138">
        <v>70</v>
      </c>
      <c r="J138">
        <v>0</v>
      </c>
      <c r="K138">
        <v>5858</v>
      </c>
      <c r="L138">
        <v>0.57999999999999996</v>
      </c>
      <c r="M138">
        <v>4.9000000000000004</v>
      </c>
      <c r="N138" t="s">
        <v>66</v>
      </c>
      <c r="O138" t="s">
        <v>19</v>
      </c>
      <c r="P138">
        <f xml:space="preserve"> Table17[[#This Row],[Unit value (USD/unit)]] * (1 + Table17[[#This Row],[Average tariff (estimated) applied by the country (%)]]/100)</f>
        <v>4100.5410000000002</v>
      </c>
    </row>
    <row r="139" spans="1:16">
      <c r="A139" t="s">
        <v>162</v>
      </c>
      <c r="B139" t="s">
        <v>18</v>
      </c>
      <c r="C139">
        <v>79</v>
      </c>
      <c r="D139">
        <v>-79</v>
      </c>
      <c r="E139">
        <v>45</v>
      </c>
      <c r="F139">
        <v>1756</v>
      </c>
      <c r="G139">
        <v>-14</v>
      </c>
      <c r="H139">
        <v>4</v>
      </c>
      <c r="I139">
        <v>-59</v>
      </c>
      <c r="J139">
        <v>0</v>
      </c>
      <c r="K139">
        <v>4192</v>
      </c>
      <c r="L139">
        <v>0.38</v>
      </c>
      <c r="M139">
        <v>6.4</v>
      </c>
      <c r="N139" t="s">
        <v>18</v>
      </c>
      <c r="O139" t="s">
        <v>16</v>
      </c>
      <c r="P139">
        <f xml:space="preserve"> Table17[[#This Row],[Unit value (USD/unit)]] * (1 + Table17[[#This Row],[Average tariff (estimated) applied by the country (%)]]/100)</f>
        <v>1868.384</v>
      </c>
    </row>
    <row r="140" spans="1:16">
      <c r="A140" t="s">
        <v>163</v>
      </c>
      <c r="B140" t="s">
        <v>66</v>
      </c>
      <c r="C140">
        <v>63</v>
      </c>
      <c r="D140">
        <v>-63</v>
      </c>
      <c r="E140">
        <v>102</v>
      </c>
      <c r="F140">
        <v>618</v>
      </c>
      <c r="G140">
        <v>156</v>
      </c>
      <c r="H140">
        <v>329</v>
      </c>
      <c r="I140">
        <v>1158</v>
      </c>
      <c r="J140">
        <v>0</v>
      </c>
      <c r="K140">
        <v>8058</v>
      </c>
      <c r="L140">
        <v>0.97</v>
      </c>
      <c r="M140">
        <v>4.7</v>
      </c>
      <c r="N140" t="s">
        <v>66</v>
      </c>
      <c r="O140" t="s">
        <v>19</v>
      </c>
      <c r="P140">
        <f xml:space="preserve"> Table17[[#This Row],[Unit value (USD/unit)]] * (1 + Table17[[#This Row],[Average tariff (estimated) applied by the country (%)]]/100)</f>
        <v>647.04599999999994</v>
      </c>
    </row>
    <row r="141" spans="1:16">
      <c r="A141" t="s">
        <v>164</v>
      </c>
      <c r="B141" t="s">
        <v>38</v>
      </c>
      <c r="C141">
        <v>61</v>
      </c>
      <c r="D141">
        <v>-61</v>
      </c>
      <c r="E141">
        <v>29</v>
      </c>
      <c r="F141">
        <v>2103</v>
      </c>
      <c r="G141">
        <v>45</v>
      </c>
      <c r="H141">
        <v>20</v>
      </c>
      <c r="I141">
        <v>42</v>
      </c>
      <c r="J141">
        <v>0</v>
      </c>
      <c r="K141">
        <v>5728</v>
      </c>
      <c r="L141">
        <v>0.3</v>
      </c>
      <c r="M141">
        <v>4.0999999999999996</v>
      </c>
      <c r="N141" t="s">
        <v>38</v>
      </c>
      <c r="O141" t="s">
        <v>16</v>
      </c>
      <c r="P141">
        <f xml:space="preserve"> Table17[[#This Row],[Unit value (USD/unit)]] * (1 + Table17[[#This Row],[Average tariff (estimated) applied by the country (%)]]/100)</f>
        <v>2189.223</v>
      </c>
    </row>
    <row r="142" spans="1:16">
      <c r="A142" t="s">
        <v>165</v>
      </c>
      <c r="B142" t="s">
        <v>66</v>
      </c>
      <c r="C142">
        <v>61</v>
      </c>
      <c r="D142">
        <v>-61</v>
      </c>
      <c r="E142">
        <v>80</v>
      </c>
      <c r="F142">
        <v>763</v>
      </c>
      <c r="G142">
        <v>8</v>
      </c>
      <c r="H142">
        <v>6</v>
      </c>
      <c r="I142">
        <v>-16</v>
      </c>
      <c r="J142">
        <v>0</v>
      </c>
      <c r="K142">
        <v>1181</v>
      </c>
      <c r="L142">
        <v>0.91</v>
      </c>
      <c r="M142">
        <v>4.2</v>
      </c>
      <c r="N142" t="s">
        <v>66</v>
      </c>
      <c r="O142" t="s">
        <v>19</v>
      </c>
      <c r="P142">
        <f xml:space="preserve"> Table17[[#This Row],[Unit value (USD/unit)]] * (1 + Table17[[#This Row],[Average tariff (estimated) applied by the country (%)]]/100)</f>
        <v>795.04600000000005</v>
      </c>
    </row>
    <row r="143" spans="1:16">
      <c r="A143" t="s">
        <v>166</v>
      </c>
      <c r="B143" t="s">
        <v>18</v>
      </c>
      <c r="C143">
        <v>57</v>
      </c>
      <c r="D143">
        <v>-57</v>
      </c>
      <c r="E143">
        <v>37</v>
      </c>
      <c r="F143">
        <v>1525</v>
      </c>
      <c r="G143">
        <v>-10</v>
      </c>
      <c r="H143">
        <v>4</v>
      </c>
      <c r="I143">
        <v>-2</v>
      </c>
      <c r="J143">
        <v>0</v>
      </c>
      <c r="K143">
        <v>2054</v>
      </c>
      <c r="L143">
        <v>0.56999999999999995</v>
      </c>
      <c r="M143">
        <v>4.2</v>
      </c>
      <c r="N143" t="s">
        <v>18</v>
      </c>
      <c r="O143" t="s">
        <v>19</v>
      </c>
      <c r="P143">
        <f xml:space="preserve"> Table17[[#This Row],[Unit value (USD/unit)]] * (1 + Table17[[#This Row],[Average tariff (estimated) applied by the country (%)]]/100)</f>
        <v>1589.05</v>
      </c>
    </row>
    <row r="144" spans="1:16">
      <c r="A144" t="s">
        <v>167</v>
      </c>
      <c r="B144" t="s">
        <v>18</v>
      </c>
      <c r="C144">
        <v>55</v>
      </c>
      <c r="D144">
        <v>-55</v>
      </c>
      <c r="E144">
        <v>38</v>
      </c>
      <c r="F144">
        <v>1447</v>
      </c>
      <c r="G144">
        <v>39</v>
      </c>
      <c r="H144">
        <v>76</v>
      </c>
      <c r="I144">
        <v>-15</v>
      </c>
      <c r="J144">
        <v>0</v>
      </c>
      <c r="K144">
        <v>3649</v>
      </c>
      <c r="L144">
        <v>1</v>
      </c>
      <c r="M144">
        <v>12</v>
      </c>
      <c r="N144" t="s">
        <v>18</v>
      </c>
      <c r="O144" t="s">
        <v>19</v>
      </c>
      <c r="P144">
        <f xml:space="preserve"> Table17[[#This Row],[Unit value (USD/unit)]] * (1 + Table17[[#This Row],[Average tariff (estimated) applied by the country (%)]]/100)</f>
        <v>1620.64</v>
      </c>
    </row>
    <row r="145" spans="1:16">
      <c r="A145" t="s">
        <v>168</v>
      </c>
      <c r="B145" t="s">
        <v>15</v>
      </c>
      <c r="C145">
        <v>53</v>
      </c>
      <c r="D145">
        <v>-53</v>
      </c>
      <c r="E145">
        <v>55</v>
      </c>
      <c r="F145">
        <v>964</v>
      </c>
      <c r="G145">
        <v>2</v>
      </c>
      <c r="H145">
        <v>-5</v>
      </c>
      <c r="I145">
        <v>10</v>
      </c>
      <c r="J145">
        <v>0</v>
      </c>
      <c r="K145">
        <v>1197</v>
      </c>
      <c r="L145">
        <v>0.31</v>
      </c>
      <c r="M145">
        <v>1.8</v>
      </c>
      <c r="N145" t="s">
        <v>15</v>
      </c>
      <c r="O145" t="s">
        <v>16</v>
      </c>
      <c r="P145">
        <f xml:space="preserve"> Table17[[#This Row],[Unit value (USD/unit)]] * (1 + Table17[[#This Row],[Average tariff (estimated) applied by the country (%)]]/100)</f>
        <v>981.35199999999998</v>
      </c>
    </row>
    <row r="146" spans="1:16">
      <c r="A146" t="s">
        <v>169</v>
      </c>
      <c r="B146" t="s">
        <v>23</v>
      </c>
      <c r="C146">
        <v>49</v>
      </c>
      <c r="D146">
        <v>-49</v>
      </c>
      <c r="E146">
        <v>86</v>
      </c>
      <c r="F146">
        <v>570</v>
      </c>
      <c r="G146">
        <v>-21</v>
      </c>
      <c r="H146">
        <v>-20</v>
      </c>
      <c r="I146">
        <v>-88</v>
      </c>
      <c r="J146">
        <v>0</v>
      </c>
      <c r="K146">
        <v>7582</v>
      </c>
      <c r="L146">
        <v>0.88</v>
      </c>
      <c r="M146">
        <v>0.9</v>
      </c>
      <c r="N146" t="s">
        <v>23</v>
      </c>
      <c r="O146" t="s">
        <v>19</v>
      </c>
      <c r="P146">
        <f xml:space="preserve"> Table17[[#This Row],[Unit value (USD/unit)]] * (1 + Table17[[#This Row],[Average tariff (estimated) applied by the country (%)]]/100)</f>
        <v>575.13</v>
      </c>
    </row>
    <row r="147" spans="1:16">
      <c r="A147" t="s">
        <v>170</v>
      </c>
      <c r="B147" t="s">
        <v>18</v>
      </c>
      <c r="C147">
        <v>42</v>
      </c>
      <c r="D147">
        <v>-42</v>
      </c>
      <c r="E147">
        <v>5</v>
      </c>
      <c r="F147">
        <v>8400</v>
      </c>
      <c r="G147">
        <v>1</v>
      </c>
      <c r="H147">
        <v>13</v>
      </c>
      <c r="I147">
        <v>26</v>
      </c>
      <c r="J147">
        <v>0</v>
      </c>
      <c r="K147">
        <v>2022</v>
      </c>
      <c r="L147">
        <v>1</v>
      </c>
      <c r="M147">
        <v>39.700000000000003</v>
      </c>
      <c r="N147" t="s">
        <v>18</v>
      </c>
      <c r="O147" t="s">
        <v>19</v>
      </c>
      <c r="P147">
        <f xml:space="preserve"> Table17[[#This Row],[Unit value (USD/unit)]] * (1 + Table17[[#This Row],[Average tariff (estimated) applied by the country (%)]]/100)</f>
        <v>11734.8</v>
      </c>
    </row>
    <row r="148" spans="1:16">
      <c r="A148" t="s">
        <v>171</v>
      </c>
      <c r="B148" t="s">
        <v>66</v>
      </c>
      <c r="C148">
        <v>37</v>
      </c>
      <c r="D148">
        <v>-35</v>
      </c>
      <c r="E148">
        <v>119</v>
      </c>
      <c r="F148">
        <v>311</v>
      </c>
      <c r="G148">
        <v>-12</v>
      </c>
      <c r="H148">
        <v>10</v>
      </c>
      <c r="I148">
        <v>-18</v>
      </c>
      <c r="J148">
        <v>0</v>
      </c>
      <c r="K148">
        <v>369</v>
      </c>
      <c r="L148">
        <v>1</v>
      </c>
      <c r="M148">
        <v>4.2</v>
      </c>
      <c r="N148" t="s">
        <v>66</v>
      </c>
      <c r="O148" t="s">
        <v>19</v>
      </c>
      <c r="P148">
        <f xml:space="preserve"> Table17[[#This Row],[Unit value (USD/unit)]] * (1 + Table17[[#This Row],[Average tariff (estimated) applied by the country (%)]]/100)</f>
        <v>324.06200000000001</v>
      </c>
    </row>
    <row r="149" spans="1:16">
      <c r="A149" t="s">
        <v>172</v>
      </c>
      <c r="B149" t="s">
        <v>66</v>
      </c>
      <c r="C149">
        <v>36</v>
      </c>
      <c r="D149">
        <v>-36</v>
      </c>
      <c r="E149">
        <v>43</v>
      </c>
      <c r="F149">
        <v>837</v>
      </c>
      <c r="G149">
        <v>-1</v>
      </c>
      <c r="H149">
        <v>-2</v>
      </c>
      <c r="I149">
        <v>-34</v>
      </c>
      <c r="J149">
        <v>0</v>
      </c>
      <c r="K149">
        <v>4970</v>
      </c>
      <c r="L149">
        <v>0.31</v>
      </c>
      <c r="M149">
        <v>0</v>
      </c>
      <c r="N149" t="s">
        <v>66</v>
      </c>
      <c r="O149" t="s">
        <v>16</v>
      </c>
      <c r="P149">
        <f xml:space="preserve"> Table17[[#This Row],[Unit value (USD/unit)]] * (1 + Table17[[#This Row],[Average tariff (estimated) applied by the country (%)]]/100)</f>
        <v>837</v>
      </c>
    </row>
    <row r="150" spans="1:16">
      <c r="A150" t="s">
        <v>173</v>
      </c>
      <c r="B150" t="s">
        <v>18</v>
      </c>
      <c r="C150">
        <v>35</v>
      </c>
      <c r="D150">
        <v>-35</v>
      </c>
      <c r="E150">
        <v>3</v>
      </c>
      <c r="F150">
        <v>11667</v>
      </c>
      <c r="G150">
        <v>0</v>
      </c>
      <c r="H150">
        <v>-21</v>
      </c>
      <c r="I150">
        <v>3</v>
      </c>
      <c r="J150">
        <v>0</v>
      </c>
      <c r="K150">
        <v>2067</v>
      </c>
      <c r="L150">
        <v>1</v>
      </c>
      <c r="M150">
        <v>25</v>
      </c>
      <c r="N150" t="s">
        <v>18</v>
      </c>
      <c r="O150" t="s">
        <v>19</v>
      </c>
      <c r="P150">
        <f xml:space="preserve"> Table17[[#This Row],[Unit value (USD/unit)]] * (1 + Table17[[#This Row],[Average tariff (estimated) applied by the country (%)]]/100)</f>
        <v>14583.75</v>
      </c>
    </row>
    <row r="151" spans="1:16">
      <c r="A151" t="s">
        <v>174</v>
      </c>
      <c r="B151" t="s">
        <v>66</v>
      </c>
      <c r="C151">
        <v>34</v>
      </c>
      <c r="D151">
        <v>-34</v>
      </c>
      <c r="E151">
        <v>41</v>
      </c>
      <c r="F151">
        <v>829</v>
      </c>
      <c r="G151">
        <v>-35</v>
      </c>
      <c r="H151">
        <v>4</v>
      </c>
      <c r="I151">
        <v>-87</v>
      </c>
      <c r="J151">
        <v>0</v>
      </c>
      <c r="K151">
        <v>2813</v>
      </c>
      <c r="L151">
        <v>1</v>
      </c>
      <c r="M151">
        <v>1.8</v>
      </c>
      <c r="N151" t="s">
        <v>66</v>
      </c>
      <c r="O151" t="s">
        <v>19</v>
      </c>
      <c r="P151">
        <f xml:space="preserve"> Table17[[#This Row],[Unit value (USD/unit)]] * (1 + Table17[[#This Row],[Average tariff (estimated) applied by the country (%)]]/100)</f>
        <v>843.92200000000003</v>
      </c>
    </row>
    <row r="152" spans="1:16">
      <c r="A152" t="s">
        <v>175</v>
      </c>
      <c r="B152" t="s">
        <v>66</v>
      </c>
      <c r="C152">
        <v>32</v>
      </c>
      <c r="D152">
        <v>-32</v>
      </c>
      <c r="E152">
        <v>31</v>
      </c>
      <c r="F152">
        <v>1025</v>
      </c>
      <c r="G152">
        <v>21</v>
      </c>
      <c r="H152">
        <v>4</v>
      </c>
      <c r="I152">
        <v>-73</v>
      </c>
      <c r="J152">
        <v>0</v>
      </c>
      <c r="K152">
        <v>4344</v>
      </c>
      <c r="L152">
        <v>0.39</v>
      </c>
      <c r="M152">
        <v>5</v>
      </c>
      <c r="N152" t="s">
        <v>66</v>
      </c>
      <c r="O152" t="s">
        <v>16</v>
      </c>
      <c r="P152">
        <f xml:space="preserve"> Table17[[#This Row],[Unit value (USD/unit)]] * (1 + Table17[[#This Row],[Average tariff (estimated) applied by the country (%)]]/100)</f>
        <v>1076.25</v>
      </c>
    </row>
    <row r="153" spans="1:16">
      <c r="A153" t="s">
        <v>176</v>
      </c>
      <c r="B153" t="s">
        <v>38</v>
      </c>
      <c r="C153">
        <v>29</v>
      </c>
      <c r="D153">
        <v>-29</v>
      </c>
      <c r="E153">
        <v>26</v>
      </c>
      <c r="F153">
        <v>1115</v>
      </c>
      <c r="G153">
        <v>38</v>
      </c>
      <c r="H153">
        <v>58</v>
      </c>
      <c r="I153">
        <v>45</v>
      </c>
      <c r="J153">
        <v>0</v>
      </c>
      <c r="K153">
        <v>8051</v>
      </c>
      <c r="L153">
        <v>0.38</v>
      </c>
      <c r="M153">
        <v>4.0999999999999996</v>
      </c>
      <c r="N153" t="s">
        <v>38</v>
      </c>
      <c r="O153" t="s">
        <v>16</v>
      </c>
      <c r="P153">
        <f xml:space="preserve"> Table17[[#This Row],[Unit value (USD/unit)]] * (1 + Table17[[#This Row],[Average tariff (estimated) applied by the country (%)]]/100)</f>
        <v>1160.7149999999999</v>
      </c>
    </row>
    <row r="154" spans="1:16">
      <c r="A154" t="s">
        <v>177</v>
      </c>
      <c r="B154" t="s">
        <v>58</v>
      </c>
      <c r="C154">
        <v>28</v>
      </c>
      <c r="D154">
        <v>-28</v>
      </c>
      <c r="E154">
        <v>3</v>
      </c>
      <c r="F154">
        <v>9333</v>
      </c>
      <c r="G154">
        <v>-13</v>
      </c>
      <c r="H154">
        <v>-47</v>
      </c>
      <c r="I154">
        <v>17</v>
      </c>
      <c r="J154">
        <v>0</v>
      </c>
      <c r="K154">
        <v>15959</v>
      </c>
      <c r="L154">
        <v>0.39</v>
      </c>
      <c r="M154">
        <v>7.8</v>
      </c>
      <c r="N154" t="s">
        <v>58</v>
      </c>
      <c r="O154" t="s">
        <v>16</v>
      </c>
      <c r="P154">
        <f xml:space="preserve"> Table17[[#This Row],[Unit value (USD/unit)]] * (1 + Table17[[#This Row],[Average tariff (estimated) applied by the country (%)]]/100)</f>
        <v>10060.974</v>
      </c>
    </row>
    <row r="155" spans="1:16">
      <c r="A155" t="s">
        <v>178</v>
      </c>
      <c r="B155" t="s">
        <v>27</v>
      </c>
      <c r="C155">
        <v>28</v>
      </c>
      <c r="D155">
        <v>42</v>
      </c>
      <c r="E155">
        <v>92</v>
      </c>
      <c r="F155">
        <v>304</v>
      </c>
      <c r="G155">
        <v>43</v>
      </c>
      <c r="H155">
        <v>4</v>
      </c>
      <c r="I155">
        <v>0.5</v>
      </c>
      <c r="J155">
        <v>0</v>
      </c>
      <c r="K155">
        <v>840</v>
      </c>
      <c r="L155">
        <v>1</v>
      </c>
      <c r="M155">
        <v>1.8</v>
      </c>
      <c r="N155" t="s">
        <v>27</v>
      </c>
      <c r="O155" t="s">
        <v>19</v>
      </c>
      <c r="P155">
        <f xml:space="preserve"> Table17[[#This Row],[Unit value (USD/unit)]] * (1 + Table17[[#This Row],[Average tariff (estimated) applied by the country (%)]]/100)</f>
        <v>309.47199999999998</v>
      </c>
    </row>
    <row r="156" spans="1:16">
      <c r="A156" t="s">
        <v>179</v>
      </c>
      <c r="B156" t="s">
        <v>66</v>
      </c>
      <c r="C156">
        <v>21</v>
      </c>
      <c r="D156">
        <v>-21</v>
      </c>
      <c r="E156">
        <v>5</v>
      </c>
      <c r="F156">
        <v>4200</v>
      </c>
      <c r="G156">
        <v>5</v>
      </c>
      <c r="H156">
        <v>-10</v>
      </c>
      <c r="I156">
        <v>-75</v>
      </c>
      <c r="J156">
        <v>0</v>
      </c>
      <c r="K156">
        <v>7095</v>
      </c>
      <c r="L156">
        <v>0.32</v>
      </c>
      <c r="M156">
        <v>0</v>
      </c>
      <c r="N156" t="s">
        <v>66</v>
      </c>
      <c r="O156" t="s">
        <v>16</v>
      </c>
      <c r="P156">
        <f xml:space="preserve"> Table17[[#This Row],[Unit value (USD/unit)]] * (1 + Table17[[#This Row],[Average tariff (estimated) applied by the country (%)]]/100)</f>
        <v>4200</v>
      </c>
    </row>
    <row r="157" spans="1:16">
      <c r="A157" t="s">
        <v>180</v>
      </c>
      <c r="B157" t="s">
        <v>44</v>
      </c>
      <c r="C157">
        <v>17</v>
      </c>
      <c r="D157">
        <v>-17</v>
      </c>
      <c r="E157">
        <v>13</v>
      </c>
      <c r="F157">
        <v>1308</v>
      </c>
      <c r="G157">
        <v>3</v>
      </c>
      <c r="H157">
        <v>3</v>
      </c>
      <c r="I157">
        <v>11</v>
      </c>
      <c r="J157">
        <v>0</v>
      </c>
      <c r="K157">
        <v>1298</v>
      </c>
      <c r="L157">
        <v>1</v>
      </c>
      <c r="M157">
        <v>4.9000000000000004</v>
      </c>
      <c r="N157" t="s">
        <v>44</v>
      </c>
      <c r="O157" t="s">
        <v>19</v>
      </c>
      <c r="P157">
        <f xml:space="preserve"> Table17[[#This Row],[Unit value (USD/unit)]] * (1 + Table17[[#This Row],[Average tariff (estimated) applied by the country (%)]]/100)</f>
        <v>1372.0919999999999</v>
      </c>
    </row>
    <row r="158" spans="1:16">
      <c r="A158" t="s">
        <v>181</v>
      </c>
      <c r="B158" t="s">
        <v>18</v>
      </c>
      <c r="C158">
        <v>16</v>
      </c>
      <c r="D158">
        <v>-16</v>
      </c>
      <c r="E158">
        <v>6</v>
      </c>
      <c r="F158">
        <v>2667</v>
      </c>
      <c r="G158">
        <v>-13</v>
      </c>
      <c r="H158">
        <v>-13</v>
      </c>
      <c r="I158">
        <v>-22</v>
      </c>
      <c r="J158">
        <v>0</v>
      </c>
      <c r="K158">
        <v>3652</v>
      </c>
      <c r="L158">
        <v>1</v>
      </c>
      <c r="M158">
        <v>4.7</v>
      </c>
      <c r="N158" t="s">
        <v>18</v>
      </c>
      <c r="O158" t="s">
        <v>19</v>
      </c>
      <c r="P158">
        <f xml:space="preserve"> Table17[[#This Row],[Unit value (USD/unit)]] * (1 + Table17[[#This Row],[Average tariff (estimated) applied by the country (%)]]/100)</f>
        <v>2792.3489999999997</v>
      </c>
    </row>
    <row r="159" spans="1:16">
      <c r="A159" t="s">
        <v>182</v>
      </c>
      <c r="B159" t="s">
        <v>66</v>
      </c>
      <c r="C159">
        <v>16</v>
      </c>
      <c r="D159">
        <v>-16</v>
      </c>
      <c r="E159">
        <v>9</v>
      </c>
      <c r="F159">
        <v>1778</v>
      </c>
      <c r="G159">
        <v>33</v>
      </c>
      <c r="H159">
        <v>4</v>
      </c>
      <c r="I159">
        <v>74</v>
      </c>
      <c r="J159">
        <v>0</v>
      </c>
      <c r="K159">
        <v>6518</v>
      </c>
      <c r="L159">
        <v>0.48</v>
      </c>
      <c r="M159">
        <v>9.8000000000000007</v>
      </c>
      <c r="N159" t="s">
        <v>66</v>
      </c>
      <c r="O159" t="s">
        <v>16</v>
      </c>
      <c r="P159">
        <f xml:space="preserve"> Table17[[#This Row],[Unit value (USD/unit)]] * (1 + Table17[[#This Row],[Average tariff (estimated) applied by the country (%)]]/100)</f>
        <v>1952.2440000000001</v>
      </c>
    </row>
    <row r="160" spans="1:16">
      <c r="A160" t="s">
        <v>183</v>
      </c>
      <c r="B160" t="s">
        <v>18</v>
      </c>
      <c r="C160">
        <v>13</v>
      </c>
      <c r="D160">
        <v>-13</v>
      </c>
      <c r="E160">
        <v>1</v>
      </c>
      <c r="F160">
        <v>13000</v>
      </c>
      <c r="G160">
        <v>-10</v>
      </c>
      <c r="H160">
        <v>-29</v>
      </c>
      <c r="I160">
        <v>-28</v>
      </c>
      <c r="J160">
        <v>0</v>
      </c>
      <c r="K160">
        <v>3565</v>
      </c>
      <c r="L160">
        <v>0.76</v>
      </c>
      <c r="M160">
        <v>4.4000000000000004</v>
      </c>
      <c r="N160" t="s">
        <v>18</v>
      </c>
      <c r="O160" t="s">
        <v>19</v>
      </c>
      <c r="P160">
        <f xml:space="preserve"> Table17[[#This Row],[Unit value (USD/unit)]] * (1 + Table17[[#This Row],[Average tariff (estimated) applied by the country (%)]]/100)</f>
        <v>13572</v>
      </c>
    </row>
    <row r="161" spans="1:16">
      <c r="A161" t="s">
        <v>184</v>
      </c>
      <c r="B161" t="s">
        <v>44</v>
      </c>
      <c r="C161">
        <v>13</v>
      </c>
      <c r="D161">
        <v>-13</v>
      </c>
      <c r="E161">
        <v>1</v>
      </c>
      <c r="F161">
        <v>13000</v>
      </c>
      <c r="G161">
        <v>16</v>
      </c>
      <c r="H161">
        <v>0</v>
      </c>
      <c r="I161">
        <v>1</v>
      </c>
      <c r="J161">
        <v>0</v>
      </c>
      <c r="K161">
        <v>4681</v>
      </c>
      <c r="L161">
        <v>0.44</v>
      </c>
      <c r="M161">
        <v>14.6</v>
      </c>
      <c r="N161" t="s">
        <v>44</v>
      </c>
      <c r="O161" t="s">
        <v>16</v>
      </c>
      <c r="P161">
        <f xml:space="preserve"> Table17[[#This Row],[Unit value (USD/unit)]] * (1 + Table17[[#This Row],[Average tariff (estimated) applied by the country (%)]]/100)</f>
        <v>14897.999999999998</v>
      </c>
    </row>
    <row r="162" spans="1:16">
      <c r="A162" t="s">
        <v>185</v>
      </c>
      <c r="B162" t="s">
        <v>66</v>
      </c>
      <c r="C162">
        <v>12</v>
      </c>
      <c r="D162">
        <v>-12</v>
      </c>
      <c r="E162">
        <v>11</v>
      </c>
      <c r="F162">
        <v>1091</v>
      </c>
      <c r="G162">
        <v>11</v>
      </c>
      <c r="H162">
        <v>18</v>
      </c>
      <c r="I162">
        <v>37</v>
      </c>
      <c r="J162">
        <v>0</v>
      </c>
      <c r="K162">
        <v>3093</v>
      </c>
      <c r="L162">
        <v>0.71</v>
      </c>
      <c r="M162">
        <v>0</v>
      </c>
      <c r="N162" t="s">
        <v>66</v>
      </c>
      <c r="O162" t="s">
        <v>19</v>
      </c>
      <c r="P162">
        <f xml:space="preserve"> Table17[[#This Row],[Unit value (USD/unit)]] * (1 + Table17[[#This Row],[Average tariff (estimated) applied by the country (%)]]/100)</f>
        <v>1091</v>
      </c>
    </row>
    <row r="163" spans="1:16">
      <c r="A163" t="s">
        <v>186</v>
      </c>
      <c r="B163" t="s">
        <v>18</v>
      </c>
      <c r="C163">
        <v>8</v>
      </c>
      <c r="D163">
        <v>-8</v>
      </c>
      <c r="E163">
        <v>2</v>
      </c>
      <c r="F163">
        <v>4000</v>
      </c>
      <c r="G163">
        <v>-30</v>
      </c>
      <c r="H163">
        <v>4</v>
      </c>
      <c r="I163">
        <v>55</v>
      </c>
      <c r="J163">
        <v>0</v>
      </c>
      <c r="K163">
        <v>7491</v>
      </c>
      <c r="L163">
        <v>1</v>
      </c>
      <c r="M163">
        <v>3.5</v>
      </c>
      <c r="N163" t="s">
        <v>18</v>
      </c>
      <c r="O163" t="s">
        <v>19</v>
      </c>
      <c r="P163">
        <f xml:space="preserve"> Table17[[#This Row],[Unit value (USD/unit)]] * (1 + Table17[[#This Row],[Average tariff (estimated) applied by the country (%)]]/100)</f>
        <v>4140</v>
      </c>
    </row>
    <row r="164" spans="1:16">
      <c r="A164" t="s">
        <v>187</v>
      </c>
      <c r="B164" t="s">
        <v>66</v>
      </c>
      <c r="C164">
        <v>8</v>
      </c>
      <c r="D164">
        <v>-8</v>
      </c>
      <c r="E164">
        <v>3</v>
      </c>
      <c r="F164">
        <v>2667</v>
      </c>
      <c r="G164">
        <v>9</v>
      </c>
      <c r="H164">
        <v>4</v>
      </c>
      <c r="I164">
        <v>-53</v>
      </c>
      <c r="J164">
        <v>0</v>
      </c>
      <c r="K164">
        <v>5555</v>
      </c>
      <c r="L164">
        <v>0.53</v>
      </c>
      <c r="M164">
        <v>9.8000000000000007</v>
      </c>
      <c r="N164" t="s">
        <v>66</v>
      </c>
      <c r="O164" t="s">
        <v>19</v>
      </c>
      <c r="P164">
        <f xml:space="preserve"> Table17[[#This Row],[Unit value (USD/unit)]] * (1 + Table17[[#This Row],[Average tariff (estimated) applied by the country (%)]]/100)</f>
        <v>2928.3660000000004</v>
      </c>
    </row>
    <row r="165" spans="1:16">
      <c r="A165" t="s">
        <v>188</v>
      </c>
      <c r="B165" t="s">
        <v>66</v>
      </c>
      <c r="C165">
        <v>6</v>
      </c>
      <c r="D165">
        <v>-6</v>
      </c>
      <c r="E165">
        <v>2</v>
      </c>
      <c r="F165">
        <v>3000</v>
      </c>
      <c r="G165">
        <v>-45</v>
      </c>
      <c r="H165">
        <v>4</v>
      </c>
      <c r="I165">
        <v>-90</v>
      </c>
      <c r="J165">
        <v>0</v>
      </c>
      <c r="K165">
        <v>4588</v>
      </c>
      <c r="L165">
        <v>1</v>
      </c>
      <c r="M165">
        <v>9.8000000000000007</v>
      </c>
      <c r="N165" t="s">
        <v>66</v>
      </c>
      <c r="O165" t="s">
        <v>19</v>
      </c>
      <c r="P165">
        <f xml:space="preserve"> Table17[[#This Row],[Unit value (USD/unit)]] * (1 + Table17[[#This Row],[Average tariff (estimated) applied by the country (%)]]/100)</f>
        <v>3294.0000000000005</v>
      </c>
    </row>
    <row r="166" spans="1:16">
      <c r="A166" t="s">
        <v>189</v>
      </c>
      <c r="B166" t="s">
        <v>15</v>
      </c>
      <c r="C166">
        <v>6</v>
      </c>
      <c r="D166">
        <v>-6</v>
      </c>
      <c r="E166">
        <v>1</v>
      </c>
      <c r="F166">
        <v>6000</v>
      </c>
      <c r="G166">
        <v>2</v>
      </c>
      <c r="H166">
        <v>0</v>
      </c>
      <c r="I166">
        <v>98</v>
      </c>
      <c r="J166">
        <v>0</v>
      </c>
      <c r="K166">
        <v>373</v>
      </c>
      <c r="L166">
        <v>0.56000000000000005</v>
      </c>
      <c r="M166">
        <v>1.8</v>
      </c>
      <c r="N166" t="s">
        <v>15</v>
      </c>
      <c r="O166" t="s">
        <v>19</v>
      </c>
      <c r="P166">
        <f xml:space="preserve"> Table17[[#This Row],[Unit value (USD/unit)]] * (1 + Table17[[#This Row],[Average tariff (estimated) applied by the country (%)]]/100)</f>
        <v>6108</v>
      </c>
    </row>
    <row r="167" spans="1:16">
      <c r="A167" t="s">
        <v>190</v>
      </c>
      <c r="B167" t="s">
        <v>25</v>
      </c>
      <c r="C167">
        <v>5</v>
      </c>
      <c r="D167">
        <v>-5</v>
      </c>
      <c r="E167">
        <v>2</v>
      </c>
      <c r="F167">
        <v>2500</v>
      </c>
      <c r="G167">
        <v>-12</v>
      </c>
      <c r="H167">
        <v>7</v>
      </c>
      <c r="I167">
        <v>-6</v>
      </c>
      <c r="J167">
        <v>0</v>
      </c>
      <c r="K167">
        <v>1119</v>
      </c>
      <c r="L167">
        <v>0.56000000000000005</v>
      </c>
      <c r="M167">
        <v>0</v>
      </c>
      <c r="N167" t="s">
        <v>25</v>
      </c>
      <c r="O167" t="s">
        <v>19</v>
      </c>
      <c r="P167">
        <f xml:space="preserve"> Table17[[#This Row],[Unit value (USD/unit)]] * (1 + Table17[[#This Row],[Average tariff (estimated) applied by the country (%)]]/100)</f>
        <v>2500</v>
      </c>
    </row>
    <row r="168" spans="1:16">
      <c r="A168" t="s">
        <v>191</v>
      </c>
      <c r="B168" t="s">
        <v>66</v>
      </c>
      <c r="C168">
        <v>5</v>
      </c>
      <c r="D168">
        <v>-5</v>
      </c>
      <c r="E168">
        <v>39</v>
      </c>
      <c r="F168">
        <v>128</v>
      </c>
      <c r="G168">
        <v>116</v>
      </c>
      <c r="H168">
        <v>4</v>
      </c>
      <c r="I168">
        <v>-34</v>
      </c>
      <c r="J168">
        <v>0</v>
      </c>
      <c r="K168">
        <v>4279</v>
      </c>
      <c r="L168">
        <v>1</v>
      </c>
      <c r="M168">
        <v>5</v>
      </c>
      <c r="N168" t="s">
        <v>66</v>
      </c>
      <c r="O168" t="s">
        <v>19</v>
      </c>
      <c r="P168">
        <f xml:space="preserve"> Table17[[#This Row],[Unit value (USD/unit)]] * (1 + Table17[[#This Row],[Average tariff (estimated) applied by the country (%)]]/100)</f>
        <v>134.4</v>
      </c>
    </row>
    <row r="169" spans="1:16">
      <c r="A169" t="s">
        <v>192</v>
      </c>
      <c r="B169" t="s">
        <v>58</v>
      </c>
      <c r="C169">
        <v>5</v>
      </c>
      <c r="D169">
        <v>-5</v>
      </c>
      <c r="E169">
        <v>2</v>
      </c>
      <c r="F169">
        <v>2500</v>
      </c>
      <c r="G169">
        <v>45</v>
      </c>
      <c r="H169">
        <v>4</v>
      </c>
      <c r="I169">
        <v>-36</v>
      </c>
      <c r="J169">
        <v>0</v>
      </c>
      <c r="K169">
        <v>8091</v>
      </c>
      <c r="L169">
        <v>0.52</v>
      </c>
      <c r="M169">
        <v>0</v>
      </c>
      <c r="N169" t="s">
        <v>58</v>
      </c>
      <c r="O169" t="s">
        <v>19</v>
      </c>
      <c r="P169">
        <f xml:space="preserve"> Table17[[#This Row],[Unit value (USD/unit)]] * (1 + Table17[[#This Row],[Average tariff (estimated) applied by the country (%)]]/100)</f>
        <v>2500</v>
      </c>
    </row>
    <row r="170" spans="1:16">
      <c r="A170" t="s">
        <v>193</v>
      </c>
      <c r="B170" t="s">
        <v>18</v>
      </c>
      <c r="C170">
        <v>5</v>
      </c>
      <c r="D170">
        <v>-5</v>
      </c>
      <c r="E170">
        <v>11</v>
      </c>
      <c r="F170">
        <v>455</v>
      </c>
      <c r="G170">
        <v>-27</v>
      </c>
      <c r="H170">
        <v>-3</v>
      </c>
      <c r="I170">
        <v>-28</v>
      </c>
      <c r="J170">
        <v>0</v>
      </c>
      <c r="K170">
        <v>2813</v>
      </c>
      <c r="L170">
        <v>1</v>
      </c>
      <c r="M170">
        <v>1.8</v>
      </c>
      <c r="N170" t="s">
        <v>18</v>
      </c>
      <c r="O170" t="s">
        <v>19</v>
      </c>
      <c r="P170">
        <f xml:space="preserve"> Table17[[#This Row],[Unit value (USD/unit)]] * (1 + Table17[[#This Row],[Average tariff (estimated) applied by the country (%)]]/100)</f>
        <v>463.19</v>
      </c>
    </row>
    <row r="171" spans="1:16">
      <c r="A171" t="s">
        <v>194</v>
      </c>
      <c r="B171" t="s">
        <v>66</v>
      </c>
      <c r="C171">
        <v>5</v>
      </c>
      <c r="D171">
        <v>-5</v>
      </c>
      <c r="E171">
        <v>3</v>
      </c>
      <c r="F171">
        <v>1667</v>
      </c>
      <c r="G171">
        <v>6</v>
      </c>
      <c r="H171">
        <v>1</v>
      </c>
      <c r="I171">
        <v>132</v>
      </c>
      <c r="J171">
        <v>0</v>
      </c>
      <c r="K171">
        <v>4615</v>
      </c>
      <c r="L171">
        <v>1</v>
      </c>
      <c r="M171">
        <v>5</v>
      </c>
      <c r="N171" t="s">
        <v>66</v>
      </c>
      <c r="O171" t="s">
        <v>19</v>
      </c>
      <c r="P171">
        <f xml:space="preserve"> Table17[[#This Row],[Unit value (USD/unit)]] * (1 + Table17[[#This Row],[Average tariff (estimated) applied by the country (%)]]/100)</f>
        <v>1750.3500000000001</v>
      </c>
    </row>
  </sheetData>
  <pageMargins left="0.7" right="0.7" top="0.75" bottom="0.75" header="0.3" footer="0.3"/>
  <ignoredErrors>
    <ignoredError sqref="S16:U16 U18 S18:S19" calculatedColumn="1"/>
    <ignoredError sqref="S23" formula="1"/>
  </ignoredErrors>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AAB44-B679-41B8-B293-7F3864630C1D}">
  <dimension ref="A2:L39"/>
  <sheetViews>
    <sheetView zoomScale="70" zoomScaleNormal="70" workbookViewId="0">
      <selection activeCell="A23" sqref="A23"/>
    </sheetView>
  </sheetViews>
  <sheetFormatPr defaultRowHeight="14.4"/>
  <cols>
    <col min="1" max="1" width="17.109375" bestFit="1" customWidth="1"/>
    <col min="2" max="2" width="20.77734375" bestFit="1" customWidth="1"/>
    <col min="3" max="3" width="4.44140625" bestFit="1" customWidth="1"/>
    <col min="4" max="4" width="9.33203125" bestFit="1" customWidth="1"/>
    <col min="5" max="5" width="12" bestFit="1" customWidth="1"/>
    <col min="9" max="9" width="17.109375" bestFit="1" customWidth="1"/>
    <col min="10" max="10" width="18.33203125" bestFit="1" customWidth="1"/>
    <col min="11" max="11" width="4.109375" bestFit="1" customWidth="1"/>
    <col min="12" max="12" width="11.109375" bestFit="1" customWidth="1"/>
  </cols>
  <sheetData>
    <row r="2" spans="1:10" ht="15.6">
      <c r="A2" s="21" t="s">
        <v>243</v>
      </c>
      <c r="I2" s="27" t="s">
        <v>269</v>
      </c>
    </row>
    <row r="3" spans="1:10">
      <c r="A3" s="3" t="s">
        <v>195</v>
      </c>
      <c r="B3" t="s">
        <v>242</v>
      </c>
      <c r="I3" s="3" t="s">
        <v>195</v>
      </c>
      <c r="J3" t="s">
        <v>255</v>
      </c>
    </row>
    <row r="4" spans="1:10">
      <c r="A4" s="1" t="s">
        <v>96</v>
      </c>
      <c r="B4" s="28">
        <v>1686</v>
      </c>
      <c r="I4" s="1" t="s">
        <v>31</v>
      </c>
      <c r="J4" s="28">
        <v>585</v>
      </c>
    </row>
    <row r="5" spans="1:10">
      <c r="A5" s="1" t="s">
        <v>45</v>
      </c>
      <c r="B5" s="28">
        <v>897</v>
      </c>
      <c r="I5" s="1" t="s">
        <v>14</v>
      </c>
      <c r="J5" s="28">
        <v>660</v>
      </c>
    </row>
    <row r="6" spans="1:10">
      <c r="A6" s="1" t="s">
        <v>22</v>
      </c>
      <c r="B6" s="28">
        <v>618</v>
      </c>
      <c r="I6" s="1" t="s">
        <v>20</v>
      </c>
      <c r="J6" s="28">
        <v>825</v>
      </c>
    </row>
    <row r="7" spans="1:10">
      <c r="A7" s="1" t="s">
        <v>29</v>
      </c>
      <c r="B7" s="28">
        <v>587</v>
      </c>
      <c r="I7" s="1" t="s">
        <v>29</v>
      </c>
      <c r="J7" s="28">
        <v>863</v>
      </c>
    </row>
    <row r="8" spans="1:10">
      <c r="A8" s="1" t="s">
        <v>31</v>
      </c>
      <c r="B8" s="28">
        <v>572</v>
      </c>
      <c r="I8" s="1" t="s">
        <v>39</v>
      </c>
      <c r="J8" s="28">
        <v>1241</v>
      </c>
    </row>
    <row r="9" spans="1:10">
      <c r="A9" s="1" t="s">
        <v>65</v>
      </c>
      <c r="B9" s="28">
        <v>544</v>
      </c>
      <c r="I9" s="1" t="s">
        <v>43</v>
      </c>
      <c r="J9" s="28">
        <v>1616</v>
      </c>
    </row>
    <row r="10" spans="1:10">
      <c r="A10" s="1" t="s">
        <v>48</v>
      </c>
      <c r="B10" s="28">
        <v>537</v>
      </c>
      <c r="I10" s="1" t="s">
        <v>45</v>
      </c>
      <c r="J10" s="28">
        <v>2454</v>
      </c>
    </row>
    <row r="11" spans="1:10">
      <c r="A11" s="1" t="s">
        <v>20</v>
      </c>
      <c r="B11" s="28">
        <v>520</v>
      </c>
      <c r="I11" s="1" t="s">
        <v>48</v>
      </c>
      <c r="J11" s="28">
        <v>2489</v>
      </c>
    </row>
    <row r="12" spans="1:10">
      <c r="A12" s="1" t="s">
        <v>39</v>
      </c>
      <c r="B12" s="28">
        <v>510</v>
      </c>
      <c r="I12" s="1" t="s">
        <v>73</v>
      </c>
      <c r="J12" s="28">
        <v>2776</v>
      </c>
    </row>
    <row r="13" spans="1:10">
      <c r="A13" s="1" t="s">
        <v>43</v>
      </c>
      <c r="B13" s="28">
        <v>347</v>
      </c>
      <c r="I13" s="1" t="s">
        <v>22</v>
      </c>
      <c r="J13" s="28">
        <v>3515</v>
      </c>
    </row>
    <row r="14" spans="1:10">
      <c r="A14" s="1" t="s">
        <v>14</v>
      </c>
      <c r="B14" s="28">
        <v>268</v>
      </c>
      <c r="C14">
        <f>GETPIVOTDATA("Price",$A$3,"Compitatores","Germany")</f>
        <v>268</v>
      </c>
      <c r="I14" s="1" t="s">
        <v>96</v>
      </c>
      <c r="J14" s="28">
        <v>6019</v>
      </c>
    </row>
    <row r="15" spans="1:10">
      <c r="A15" s="1" t="s">
        <v>196</v>
      </c>
      <c r="B15" s="28">
        <v>7086</v>
      </c>
      <c r="I15" s="1" t="s">
        <v>65</v>
      </c>
      <c r="J15" s="28">
        <v>9298</v>
      </c>
    </row>
    <row r="16" spans="1:10">
      <c r="B16">
        <f>GETPIVOTDATA("Price",$A$3)</f>
        <v>7086</v>
      </c>
      <c r="I16" s="1" t="s">
        <v>196</v>
      </c>
      <c r="J16" s="28">
        <v>2695.0833333333335</v>
      </c>
    </row>
    <row r="17" spans="1:12">
      <c r="J17" s="20">
        <f>GETPIVOTDATA("Distance",$I$3)</f>
        <v>2695.0833333333335</v>
      </c>
    </row>
    <row r="22" spans="1:12" ht="15.6">
      <c r="A22" s="21" t="s">
        <v>276</v>
      </c>
    </row>
    <row r="24" spans="1:12">
      <c r="A24" s="3" t="s">
        <v>195</v>
      </c>
      <c r="B24" t="s">
        <v>244</v>
      </c>
      <c r="I24" s="27" t="s">
        <v>270</v>
      </c>
    </row>
    <row r="25" spans="1:12">
      <c r="A25" s="1" t="s">
        <v>14</v>
      </c>
      <c r="B25" s="28">
        <v>272.82400000000001</v>
      </c>
      <c r="I25" s="3" t="s">
        <v>254</v>
      </c>
      <c r="J25" s="3" t="s">
        <v>235</v>
      </c>
    </row>
    <row r="26" spans="1:12">
      <c r="A26" s="1" t="s">
        <v>43</v>
      </c>
      <c r="B26" s="28">
        <v>367.47299999999996</v>
      </c>
      <c r="I26" s="3" t="s">
        <v>195</v>
      </c>
      <c r="J26" t="s">
        <v>252</v>
      </c>
      <c r="K26" t="s">
        <v>253</v>
      </c>
      <c r="L26" t="s">
        <v>196</v>
      </c>
    </row>
    <row r="27" spans="1:12">
      <c r="A27" s="1" t="s">
        <v>39</v>
      </c>
      <c r="B27" s="28">
        <v>519.18000000000006</v>
      </c>
      <c r="I27" s="1" t="s">
        <v>29</v>
      </c>
      <c r="J27" s="28"/>
      <c r="K27" s="28">
        <v>1</v>
      </c>
      <c r="L27" s="28">
        <v>1</v>
      </c>
    </row>
    <row r="28" spans="1:12">
      <c r="A28" s="1" t="s">
        <v>20</v>
      </c>
      <c r="B28" s="28">
        <v>529.36</v>
      </c>
      <c r="I28" s="1" t="s">
        <v>45</v>
      </c>
      <c r="J28" s="28">
        <v>1</v>
      </c>
      <c r="K28" s="28"/>
      <c r="L28" s="28">
        <v>1</v>
      </c>
    </row>
    <row r="29" spans="1:12">
      <c r="A29" s="1" t="s">
        <v>48</v>
      </c>
      <c r="B29" s="28">
        <v>551.49899999999991</v>
      </c>
      <c r="I29" s="1" t="s">
        <v>14</v>
      </c>
      <c r="J29" s="28"/>
      <c r="K29" s="28">
        <v>1</v>
      </c>
      <c r="L29" s="28">
        <v>1</v>
      </c>
    </row>
    <row r="30" spans="1:12">
      <c r="A30" s="1" t="s">
        <v>65</v>
      </c>
      <c r="B30" s="28">
        <v>566.30399999999997</v>
      </c>
      <c r="I30" s="1" t="s">
        <v>43</v>
      </c>
      <c r="J30" s="28">
        <v>1</v>
      </c>
      <c r="K30" s="28"/>
      <c r="L30" s="28">
        <v>1</v>
      </c>
    </row>
    <row r="31" spans="1:12">
      <c r="A31" s="1" t="s">
        <v>31</v>
      </c>
      <c r="B31" s="28">
        <v>582.29600000000005</v>
      </c>
      <c r="I31" s="1" t="s">
        <v>22</v>
      </c>
      <c r="J31" s="28"/>
      <c r="K31" s="28">
        <v>1</v>
      </c>
      <c r="L31" s="28">
        <v>1</v>
      </c>
    </row>
    <row r="32" spans="1:12">
      <c r="A32" s="1" t="s">
        <v>29</v>
      </c>
      <c r="B32" s="28">
        <v>597.56600000000003</v>
      </c>
      <c r="I32" s="1" t="s">
        <v>20</v>
      </c>
      <c r="J32" s="28"/>
      <c r="K32" s="28">
        <v>1</v>
      </c>
      <c r="L32" s="28">
        <v>1</v>
      </c>
    </row>
    <row r="33" spans="1:12">
      <c r="A33" s="1" t="s">
        <v>73</v>
      </c>
      <c r="B33" s="28">
        <v>610</v>
      </c>
      <c r="I33" s="1" t="s">
        <v>96</v>
      </c>
      <c r="J33" s="28">
        <v>1</v>
      </c>
      <c r="K33" s="28"/>
      <c r="L33" s="28">
        <v>1</v>
      </c>
    </row>
    <row r="34" spans="1:12">
      <c r="A34" s="1" t="s">
        <v>22</v>
      </c>
      <c r="B34" s="28">
        <v>629.12400000000002</v>
      </c>
      <c r="I34" s="1" t="s">
        <v>31</v>
      </c>
      <c r="J34" s="28"/>
      <c r="K34" s="28">
        <v>1</v>
      </c>
      <c r="L34" s="28">
        <v>1</v>
      </c>
    </row>
    <row r="35" spans="1:12">
      <c r="A35" s="1" t="s">
        <v>45</v>
      </c>
      <c r="B35" s="28">
        <v>949.923</v>
      </c>
      <c r="I35" s="1" t="s">
        <v>65</v>
      </c>
      <c r="J35" s="28">
        <v>1</v>
      </c>
      <c r="K35" s="28"/>
      <c r="L35" s="28">
        <v>1</v>
      </c>
    </row>
    <row r="36" spans="1:12">
      <c r="A36" s="1" t="s">
        <v>96</v>
      </c>
      <c r="B36" s="28">
        <v>1738.2659999999998</v>
      </c>
      <c r="I36" s="1" t="s">
        <v>39</v>
      </c>
      <c r="J36" s="28"/>
      <c r="K36" s="28">
        <v>1</v>
      </c>
      <c r="L36" s="28">
        <v>1</v>
      </c>
    </row>
    <row r="37" spans="1:12">
      <c r="A37" s="1" t="s">
        <v>196</v>
      </c>
      <c r="B37" s="28">
        <v>659.48458333333338</v>
      </c>
      <c r="I37" s="1" t="s">
        <v>48</v>
      </c>
      <c r="J37" s="28">
        <v>1</v>
      </c>
      <c r="K37" s="28"/>
      <c r="L37" s="28">
        <v>1</v>
      </c>
    </row>
    <row r="38" spans="1:12">
      <c r="B38">
        <f>GETPIVOTDATA("Total Price ",$A$24)</f>
        <v>659.48458333333338</v>
      </c>
      <c r="I38" s="1" t="s">
        <v>73</v>
      </c>
      <c r="J38" s="28"/>
      <c r="K38" s="28">
        <v>1</v>
      </c>
      <c r="L38" s="28">
        <v>1</v>
      </c>
    </row>
    <row r="39" spans="1:12">
      <c r="I39" s="1" t="s">
        <v>196</v>
      </c>
      <c r="J39" s="28">
        <v>5</v>
      </c>
      <c r="K39" s="28">
        <v>7</v>
      </c>
      <c r="L39" s="28">
        <v>12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D46A9-84E8-4A4E-BFB7-04F0D23FC551}">
  <dimension ref="A1:P39"/>
  <sheetViews>
    <sheetView workbookViewId="0">
      <selection activeCell="A9" sqref="A9"/>
    </sheetView>
  </sheetViews>
  <sheetFormatPr defaultRowHeight="14.4"/>
  <cols>
    <col min="1" max="1" width="29.77734375" bestFit="1" customWidth="1"/>
    <col min="2" max="3" width="16" customWidth="1"/>
    <col min="4" max="4" width="11.77734375" customWidth="1"/>
    <col min="5" max="5" width="14.33203125" bestFit="1" customWidth="1"/>
    <col min="6" max="6" width="12.33203125" customWidth="1"/>
    <col min="7" max="7" width="15.109375" bestFit="1" customWidth="1"/>
    <col min="8" max="9" width="11.5546875" customWidth="1"/>
    <col min="10" max="10" width="12.21875" customWidth="1"/>
    <col min="11" max="11" width="19.88671875" bestFit="1" customWidth="1"/>
  </cols>
  <sheetData>
    <row r="1" spans="1:16">
      <c r="A1" t="s">
        <v>218</v>
      </c>
      <c r="B1" t="s">
        <v>256</v>
      </c>
      <c r="C1" t="s">
        <v>261</v>
      </c>
      <c r="D1" t="s">
        <v>257</v>
      </c>
      <c r="E1" t="s">
        <v>262</v>
      </c>
      <c r="F1" t="s">
        <v>258</v>
      </c>
      <c r="G1" t="s">
        <v>263</v>
      </c>
      <c r="H1" t="s">
        <v>259</v>
      </c>
      <c r="I1" t="s">
        <v>264</v>
      </c>
      <c r="J1" t="s">
        <v>260</v>
      </c>
      <c r="K1" t="s">
        <v>265</v>
      </c>
    </row>
    <row r="2" spans="1:16">
      <c r="A2" t="s">
        <v>22</v>
      </c>
      <c r="B2">
        <f>VLOOKUP(Table8[[#This Row],[Target Market]],Table1[#All],3,0)</f>
        <v>38792</v>
      </c>
      <c r="C2" s="24">
        <f t="shared" ref="C2:C16" si="0">(LOG(B2)-LOG(MIN($B$2:$B$16))) / (LOG(MAX($B$2:$B$16))-LOG(MIN($B$2:$B$16))) * 9 + 1</f>
        <v>10</v>
      </c>
      <c r="D2">
        <f>VLOOKUP(Table8[[#This Row],[Target Market]],Table1[#All],7,0)</f>
        <v>13</v>
      </c>
      <c r="E2" s="23">
        <f t="shared" ref="E2:E16" si="1">IF(D2&gt;25, 10, IF(D2&gt;15, 8, IF(D2&gt;5, 5, IF(D2&gt;0, 3, 1))))</f>
        <v>5</v>
      </c>
      <c r="F2">
        <v>400</v>
      </c>
      <c r="G2" s="24">
        <f>(MAX($F$2:$F$16)-F2) / (MAX($F$2:$F$16)-MIN($F$2:$F$16)) * 9 + 1</f>
        <v>9.9460154241645249</v>
      </c>
      <c r="H2">
        <v>0</v>
      </c>
      <c r="I2" s="23">
        <f t="shared" ref="I2:I16" si="2">IF(H2=0, 10, IF(H2&lt;=5, 7, IF(H2&lt;=15, 4, 1)))</f>
        <v>10</v>
      </c>
      <c r="J2" s="24">
        <f t="shared" ref="J2:J16" si="3">(C2*0.35) + (E2*0.2) + (G2*0.2) + (I2*0.25)</f>
        <v>8.989203084832905</v>
      </c>
      <c r="K2" s="23" t="str">
        <f t="shared" ref="K2:K16" si="4">IF(J2&gt;=7, "Priority", IF(J2&gt;=6.5, "Long-term Opportunity", "Low-Interest"))</f>
        <v>Priority</v>
      </c>
    </row>
    <row r="3" spans="1:16">
      <c r="A3" t="s">
        <v>48</v>
      </c>
      <c r="B3">
        <f>VLOOKUP(Table8[[#This Row],[Target Market]],Table1[#All],3,0)</f>
        <v>13886</v>
      </c>
      <c r="C3" s="25">
        <f t="shared" si="0"/>
        <v>8.1999856965281452</v>
      </c>
      <c r="D3">
        <f>VLOOKUP(Table8[[#This Row],[Target Market]],Table1[#All],7,0)</f>
        <v>-4</v>
      </c>
      <c r="E3">
        <f t="shared" si="1"/>
        <v>1</v>
      </c>
      <c r="F3">
        <v>900</v>
      </c>
      <c r="G3" s="25">
        <f t="shared" ref="G3:G16" si="5">(MAX($F$2:$F$16)-F3) / (MAX($F$2:$F$16)-MIN($F$2:$F$16)) * 9 + 1</f>
        <v>9.5604113110539846</v>
      </c>
      <c r="H3">
        <v>0</v>
      </c>
      <c r="I3">
        <f t="shared" si="2"/>
        <v>10</v>
      </c>
      <c r="J3" s="25">
        <f t="shared" si="3"/>
        <v>7.4820772559956481</v>
      </c>
      <c r="K3" s="23" t="str">
        <f>IF(J3&gt;=7, "Priority", IF(J3&gt;=6.5, "Long-term Opportunity", "Low-Interest"))</f>
        <v>Priority</v>
      </c>
    </row>
    <row r="4" spans="1:16">
      <c r="A4" t="s">
        <v>59</v>
      </c>
      <c r="B4">
        <f>VLOOKUP(Table8[[#This Row],[Target Market]],Table1[#All],3,0)</f>
        <v>8513</v>
      </c>
      <c r="C4" s="25">
        <f t="shared" si="0"/>
        <v>7.3426948282910063</v>
      </c>
      <c r="D4">
        <f>VLOOKUP(Table8[[#This Row],[Target Market]],Table1[#All],7,0)</f>
        <v>13</v>
      </c>
      <c r="E4">
        <f t="shared" si="1"/>
        <v>5</v>
      </c>
      <c r="F4">
        <v>330</v>
      </c>
      <c r="G4" s="25">
        <f t="shared" si="5"/>
        <v>10</v>
      </c>
      <c r="H4">
        <v>0</v>
      </c>
      <c r="I4">
        <f t="shared" si="2"/>
        <v>10</v>
      </c>
      <c r="J4" s="25">
        <f t="shared" si="3"/>
        <v>8.0699431899018528</v>
      </c>
      <c r="K4" s="23" t="str">
        <f t="shared" si="4"/>
        <v>Priority</v>
      </c>
    </row>
    <row r="5" spans="1:16">
      <c r="A5" t="s">
        <v>65</v>
      </c>
      <c r="B5">
        <f>VLOOKUP(Table8[[#This Row],[Target Market]],Table1[#All],3,0)</f>
        <v>5792</v>
      </c>
      <c r="C5" s="25">
        <f t="shared" si="0"/>
        <v>6.6679226480301725</v>
      </c>
      <c r="D5">
        <f>VLOOKUP(Table8[[#This Row],[Target Market]],Table1[#All],7,0)</f>
        <v>6</v>
      </c>
      <c r="E5">
        <f t="shared" si="1"/>
        <v>5</v>
      </c>
      <c r="F5">
        <v>8800</v>
      </c>
      <c r="G5" s="25">
        <f t="shared" si="5"/>
        <v>3.467866323907455</v>
      </c>
      <c r="H5">
        <v>4.0999999999999996</v>
      </c>
      <c r="I5">
        <f t="shared" si="2"/>
        <v>7</v>
      </c>
      <c r="J5" s="25">
        <f t="shared" si="3"/>
        <v>5.7773461915920512</v>
      </c>
      <c r="K5" s="23" t="str">
        <f t="shared" si="4"/>
        <v>Low-Interest</v>
      </c>
    </row>
    <row r="6" spans="1:16">
      <c r="A6" t="s">
        <v>69</v>
      </c>
      <c r="B6">
        <f>VLOOKUP(Table8[[#This Row],[Target Market]],Table1[#All],3,0)</f>
        <v>4710</v>
      </c>
      <c r="C6" s="25">
        <f t="shared" si="0"/>
        <v>6.305601435522366</v>
      </c>
      <c r="D6">
        <f>VLOOKUP(Table8[[#This Row],[Target Market]],Table1[#All],7,0)</f>
        <v>34</v>
      </c>
      <c r="E6">
        <f t="shared" si="1"/>
        <v>10</v>
      </c>
      <c r="F6">
        <v>12000</v>
      </c>
      <c r="G6" s="25">
        <f t="shared" si="5"/>
        <v>1</v>
      </c>
      <c r="H6">
        <v>4.7</v>
      </c>
      <c r="I6">
        <f t="shared" si="2"/>
        <v>7</v>
      </c>
      <c r="J6" s="25">
        <f t="shared" si="3"/>
        <v>6.1569605024328284</v>
      </c>
      <c r="K6" s="23" t="str">
        <f t="shared" si="4"/>
        <v>Low-Interest</v>
      </c>
    </row>
    <row r="7" spans="1:16">
      <c r="A7" t="s">
        <v>76</v>
      </c>
      <c r="B7">
        <f>VLOOKUP(Table8[[#This Row],[Target Market]],Table1[#All],3,0)</f>
        <v>3245</v>
      </c>
      <c r="C7" s="25">
        <f t="shared" si="0"/>
        <v>5.6528082345158612</v>
      </c>
      <c r="D7">
        <f>VLOOKUP(Table8[[#This Row],[Target Market]],Table1[#All],7,0)</f>
        <v>6</v>
      </c>
      <c r="E7">
        <f t="shared" si="1"/>
        <v>5</v>
      </c>
      <c r="F7">
        <v>4200</v>
      </c>
      <c r="G7" s="25">
        <f t="shared" si="5"/>
        <v>7.015424164524422</v>
      </c>
      <c r="H7">
        <v>0</v>
      </c>
      <c r="I7">
        <f t="shared" si="2"/>
        <v>10</v>
      </c>
      <c r="J7" s="25">
        <f t="shared" si="3"/>
        <v>6.8815677149854357</v>
      </c>
      <c r="K7" s="23" t="str">
        <f t="shared" si="4"/>
        <v>Long-term Opportunity</v>
      </c>
    </row>
    <row r="8" spans="1:16">
      <c r="A8" t="s">
        <v>87</v>
      </c>
      <c r="B8">
        <f>VLOOKUP(Table8[[#This Row],[Target Market]],Table1[#All],3,0)</f>
        <v>2221</v>
      </c>
      <c r="C8" s="25">
        <f t="shared" si="0"/>
        <v>4.9884768656539338</v>
      </c>
      <c r="D8">
        <f>VLOOKUP(Table8[[#This Row],[Target Market]],Table1[#All],7,0)</f>
        <v>27</v>
      </c>
      <c r="E8">
        <f t="shared" si="1"/>
        <v>10</v>
      </c>
      <c r="F8">
        <v>9000</v>
      </c>
      <c r="G8" s="25">
        <f t="shared" si="5"/>
        <v>3.3136246786632388</v>
      </c>
      <c r="H8">
        <v>0</v>
      </c>
      <c r="I8">
        <f t="shared" si="2"/>
        <v>10</v>
      </c>
      <c r="J8" s="25">
        <f t="shared" si="3"/>
        <v>6.9086918387115244</v>
      </c>
      <c r="K8" s="23" t="str">
        <f t="shared" si="4"/>
        <v>Long-term Opportunity</v>
      </c>
    </row>
    <row r="9" spans="1:16">
      <c r="A9" t="s">
        <v>88</v>
      </c>
      <c r="B9">
        <f>VLOOKUP(Table8[[#This Row],[Target Market]],Table1[#All],3,0)</f>
        <v>2212</v>
      </c>
      <c r="C9" s="25">
        <f t="shared" si="0"/>
        <v>4.9813624353439687</v>
      </c>
      <c r="D9">
        <f>VLOOKUP(Table8[[#This Row],[Target Market]],Table1[#All],7,0)</f>
        <v>20</v>
      </c>
      <c r="E9">
        <f t="shared" si="1"/>
        <v>8</v>
      </c>
      <c r="F9">
        <v>8500</v>
      </c>
      <c r="G9" s="25">
        <f t="shared" si="5"/>
        <v>3.6992287917737787</v>
      </c>
      <c r="H9">
        <v>0</v>
      </c>
      <c r="I9">
        <f t="shared" si="2"/>
        <v>10</v>
      </c>
      <c r="J9" s="25">
        <f t="shared" si="3"/>
        <v>6.583322610725145</v>
      </c>
      <c r="K9" t="str">
        <f t="shared" si="4"/>
        <v>Long-term Opportunity</v>
      </c>
    </row>
    <row r="10" spans="1:16">
      <c r="A10" t="s">
        <v>92</v>
      </c>
      <c r="B10">
        <f>VLOOKUP(Table8[[#This Row],[Target Market]],Table1[#All],3,0)</f>
        <v>2021</v>
      </c>
      <c r="C10" s="25">
        <f t="shared" si="0"/>
        <v>4.8231375280461126</v>
      </c>
      <c r="D10">
        <f>VLOOKUP(Table8[[#This Row],[Target Market]],Table1[#All],7,0)</f>
        <v>-2</v>
      </c>
      <c r="E10">
        <f t="shared" si="1"/>
        <v>1</v>
      </c>
      <c r="F10">
        <v>3800</v>
      </c>
      <c r="G10" s="25">
        <f t="shared" si="5"/>
        <v>7.3239074550128533</v>
      </c>
      <c r="H10">
        <v>0</v>
      </c>
      <c r="I10">
        <f t="shared" si="2"/>
        <v>10</v>
      </c>
      <c r="J10" s="25">
        <f t="shared" si="3"/>
        <v>5.8528796258187104</v>
      </c>
      <c r="K10" t="str">
        <f t="shared" si="4"/>
        <v>Low-Interest</v>
      </c>
    </row>
    <row r="11" spans="1:16">
      <c r="A11" t="s">
        <v>93</v>
      </c>
      <c r="B11">
        <f>VLOOKUP(Table8[[#This Row],[Target Market]],Table1[#All],3,0)</f>
        <v>1964</v>
      </c>
      <c r="C11" s="25">
        <f t="shared" si="0"/>
        <v>4.7730106213558976</v>
      </c>
      <c r="D11">
        <f>VLOOKUP(Table8[[#This Row],[Target Market]],Table1[#All],7,0)</f>
        <v>21</v>
      </c>
      <c r="E11">
        <f t="shared" si="1"/>
        <v>8</v>
      </c>
      <c r="F11">
        <v>2800</v>
      </c>
      <c r="G11" s="25">
        <f t="shared" si="5"/>
        <v>8.0951156812339331</v>
      </c>
      <c r="H11">
        <v>0</v>
      </c>
      <c r="I11">
        <f t="shared" si="2"/>
        <v>10</v>
      </c>
      <c r="J11" s="25">
        <f t="shared" si="3"/>
        <v>7.3895768537213513</v>
      </c>
      <c r="K11" t="str">
        <f t="shared" si="4"/>
        <v>Priority</v>
      </c>
    </row>
    <row r="12" spans="1:16">
      <c r="A12" t="s">
        <v>94</v>
      </c>
      <c r="B12">
        <f>VLOOKUP(Table8[[#This Row],[Target Market]],Table1[#All],3,0)</f>
        <v>1799</v>
      </c>
      <c r="C12" s="25">
        <f t="shared" si="0"/>
        <v>4.6192578174978989</v>
      </c>
      <c r="D12">
        <f>VLOOKUP(Table8[[#This Row],[Target Market]],Table1[#All],7,0)</f>
        <v>13</v>
      </c>
      <c r="E12">
        <f t="shared" si="1"/>
        <v>5</v>
      </c>
      <c r="F12">
        <v>4800</v>
      </c>
      <c r="G12" s="25">
        <f t="shared" si="5"/>
        <v>6.5526992287917736</v>
      </c>
      <c r="H12">
        <v>0</v>
      </c>
      <c r="I12">
        <f t="shared" si="2"/>
        <v>10</v>
      </c>
      <c r="J12" s="25">
        <f t="shared" si="3"/>
        <v>6.4272800818826195</v>
      </c>
      <c r="K12" t="str">
        <f t="shared" si="4"/>
        <v>Low-Interest</v>
      </c>
    </row>
    <row r="13" spans="1:16">
      <c r="A13" t="s">
        <v>103</v>
      </c>
      <c r="B13">
        <f>VLOOKUP(Table8[[#This Row],[Target Market]],Table1[#All],3,0)</f>
        <v>1463</v>
      </c>
      <c r="C13" s="25">
        <f t="shared" si="0"/>
        <v>4.2570205564625292</v>
      </c>
      <c r="D13">
        <f>VLOOKUP(Table8[[#This Row],[Target Market]],Table1[#All],7,0)</f>
        <v>18</v>
      </c>
      <c r="E13">
        <f t="shared" si="1"/>
        <v>8</v>
      </c>
      <c r="F13">
        <v>3500</v>
      </c>
      <c r="G13" s="25">
        <f t="shared" si="5"/>
        <v>7.5552699228791775</v>
      </c>
      <c r="H13">
        <v>15</v>
      </c>
      <c r="I13">
        <f t="shared" si="2"/>
        <v>4</v>
      </c>
      <c r="J13" s="25">
        <f t="shared" si="3"/>
        <v>5.6010111793377204</v>
      </c>
      <c r="K13" t="str">
        <f t="shared" si="4"/>
        <v>Low-Interest</v>
      </c>
    </row>
    <row r="14" spans="1:16">
      <c r="A14" t="s">
        <v>106</v>
      </c>
      <c r="B14">
        <f>VLOOKUP(Table8[[#This Row],[Target Market]],Table1[#All],3,0)</f>
        <v>1126</v>
      </c>
      <c r="C14" s="25">
        <f t="shared" si="0"/>
        <v>3.7982837532294234</v>
      </c>
      <c r="D14">
        <f>VLOOKUP(Table8[[#This Row],[Target Market]],Table1[#All],7,0)</f>
        <v>23</v>
      </c>
      <c r="E14">
        <f t="shared" si="1"/>
        <v>8</v>
      </c>
      <c r="F14">
        <v>3500</v>
      </c>
      <c r="G14" s="25">
        <f t="shared" si="5"/>
        <v>7.5552699228791775</v>
      </c>
      <c r="H14">
        <v>0</v>
      </c>
      <c r="I14">
        <f t="shared" si="2"/>
        <v>10</v>
      </c>
      <c r="J14" s="25">
        <f t="shared" si="3"/>
        <v>6.9404532982061333</v>
      </c>
      <c r="K14" t="str">
        <f t="shared" si="4"/>
        <v>Long-term Opportunity</v>
      </c>
    </row>
    <row r="15" spans="1:16">
      <c r="A15" t="s">
        <v>123</v>
      </c>
      <c r="B15">
        <f>VLOOKUP(Table8[[#This Row],[Target Market]],Table1[#All],3,0)</f>
        <v>559</v>
      </c>
      <c r="C15" s="25">
        <f t="shared" si="0"/>
        <v>2.5713112513546559</v>
      </c>
      <c r="D15">
        <f>VLOOKUP(Table8[[#This Row],[Target Market]],Table1[#All],7,0)</f>
        <v>28</v>
      </c>
      <c r="E15">
        <f t="shared" si="1"/>
        <v>10</v>
      </c>
      <c r="F15">
        <v>5500</v>
      </c>
      <c r="G15" s="25">
        <f t="shared" si="5"/>
        <v>6.012853470437018</v>
      </c>
      <c r="H15">
        <v>0</v>
      </c>
      <c r="I15">
        <f t="shared" si="2"/>
        <v>10</v>
      </c>
      <c r="J15" s="25">
        <f t="shared" si="3"/>
        <v>6.6025296320615325</v>
      </c>
      <c r="K15" t="str">
        <f t="shared" si="4"/>
        <v>Long-term Opportunity</v>
      </c>
      <c r="P15" s="22"/>
    </row>
    <row r="16" spans="1:16">
      <c r="A16" t="s">
        <v>139</v>
      </c>
      <c r="B16">
        <f>VLOOKUP(Table8[[#This Row],[Target Market]],Table1[#All],3,0)</f>
        <v>228</v>
      </c>
      <c r="C16" s="25">
        <f t="shared" si="0"/>
        <v>1</v>
      </c>
      <c r="D16">
        <f>VLOOKUP(Table8[[#This Row],[Target Market]],Table1[#All],7,0)</f>
        <v>17</v>
      </c>
      <c r="E16">
        <f t="shared" si="1"/>
        <v>8</v>
      </c>
      <c r="F16">
        <v>7500</v>
      </c>
      <c r="G16" s="25">
        <f t="shared" si="5"/>
        <v>4.4704370179948585</v>
      </c>
      <c r="H16">
        <v>0</v>
      </c>
      <c r="I16">
        <f t="shared" si="2"/>
        <v>10</v>
      </c>
      <c r="J16" s="25">
        <f t="shared" si="3"/>
        <v>5.3440874035989721</v>
      </c>
      <c r="K16" t="str">
        <f t="shared" si="4"/>
        <v>Low-Interest</v>
      </c>
      <c r="P16" s="22"/>
    </row>
    <row r="17" spans="3:16">
      <c r="C17" s="26"/>
      <c r="P17" s="22"/>
    </row>
    <row r="18" spans="3:16">
      <c r="P18" s="22"/>
    </row>
    <row r="19" spans="3:16">
      <c r="P19" s="22"/>
    </row>
    <row r="20" spans="3:16">
      <c r="C20">
        <v>35</v>
      </c>
      <c r="E20">
        <v>20</v>
      </c>
      <c r="G20">
        <v>20</v>
      </c>
      <c r="I20">
        <v>25</v>
      </c>
      <c r="P20" s="22"/>
    </row>
    <row r="21" spans="3:16">
      <c r="C21" t="s">
        <v>266</v>
      </c>
      <c r="E21" t="s">
        <v>267</v>
      </c>
      <c r="G21" t="s">
        <v>268</v>
      </c>
      <c r="I21" t="s">
        <v>268</v>
      </c>
      <c r="P21" s="22"/>
    </row>
    <row r="22" spans="3:16">
      <c r="P22" s="22"/>
    </row>
    <row r="23" spans="3:16">
      <c r="E23" s="26"/>
      <c r="P23" s="22"/>
    </row>
    <row r="24" spans="3:16">
      <c r="E24" s="26"/>
      <c r="P24" s="22"/>
    </row>
    <row r="25" spans="3:16">
      <c r="E25" s="26"/>
      <c r="P25" s="22"/>
    </row>
    <row r="26" spans="3:16">
      <c r="E26" s="26"/>
      <c r="P26" s="22"/>
    </row>
    <row r="27" spans="3:16">
      <c r="E27" s="26"/>
    </row>
    <row r="28" spans="3:16">
      <c r="E28" s="26"/>
    </row>
    <row r="29" spans="3:16">
      <c r="E29" s="26"/>
    </row>
    <row r="30" spans="3:16">
      <c r="E30" s="26"/>
    </row>
    <row r="31" spans="3:16">
      <c r="E31" s="26"/>
    </row>
    <row r="32" spans="3:16">
      <c r="E32" s="26"/>
    </row>
    <row r="33" spans="5:5">
      <c r="E33" s="26"/>
    </row>
    <row r="35" spans="5:5">
      <c r="E35" s="26"/>
    </row>
    <row r="36" spans="5:5">
      <c r="E36" s="26"/>
    </row>
    <row r="37" spans="5:5">
      <c r="E37" s="26"/>
    </row>
    <row r="38" spans="5:5">
      <c r="E38" s="26"/>
    </row>
    <row r="39" spans="5:5">
      <c r="E39" s="26"/>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B5787-5CC7-4BE6-B46A-C553BA4B764A}">
  <dimension ref="A1:B14"/>
  <sheetViews>
    <sheetView workbookViewId="0">
      <selection activeCell="B20" sqref="B20"/>
    </sheetView>
  </sheetViews>
  <sheetFormatPr defaultRowHeight="14.4"/>
  <cols>
    <col min="1" max="1" width="29.77734375" bestFit="1" customWidth="1"/>
    <col min="2" max="2" width="16.88671875" bestFit="1" customWidth="1"/>
  </cols>
  <sheetData>
    <row r="1" spans="1:2">
      <c r="A1" t="s">
        <v>273</v>
      </c>
    </row>
    <row r="3" spans="1:2">
      <c r="A3" s="3" t="s">
        <v>195</v>
      </c>
      <c r="B3" t="s">
        <v>272</v>
      </c>
    </row>
    <row r="4" spans="1:2">
      <c r="A4" s="1" t="s">
        <v>93</v>
      </c>
      <c r="B4" s="25">
        <v>7.3895768537213513</v>
      </c>
    </row>
    <row r="5" spans="1:2">
      <c r="A5" s="1" t="s">
        <v>106</v>
      </c>
      <c r="B5" s="25">
        <v>6.9404532982061333</v>
      </c>
    </row>
    <row r="6" spans="1:2">
      <c r="A6" s="1" t="s">
        <v>87</v>
      </c>
      <c r="B6" s="25">
        <v>6.9086918387115244</v>
      </c>
    </row>
    <row r="7" spans="1:2">
      <c r="A7" s="1" t="s">
        <v>22</v>
      </c>
      <c r="B7" s="25">
        <v>8.989203084832905</v>
      </c>
    </row>
    <row r="8" spans="1:2">
      <c r="A8" s="1" t="s">
        <v>59</v>
      </c>
      <c r="B8" s="25">
        <v>8.0699431899018528</v>
      </c>
    </row>
    <row r="9" spans="1:2">
      <c r="A9" s="1" t="s">
        <v>94</v>
      </c>
      <c r="B9" s="25">
        <v>6.4272800818826195</v>
      </c>
    </row>
    <row r="10" spans="1:2">
      <c r="A10" s="1" t="s">
        <v>48</v>
      </c>
      <c r="B10" s="25">
        <v>7.4820772559956481</v>
      </c>
    </row>
    <row r="11" spans="1:2">
      <c r="A11" s="1" t="s">
        <v>123</v>
      </c>
      <c r="B11" s="25">
        <v>6.6025296320615325</v>
      </c>
    </row>
    <row r="12" spans="1:2">
      <c r="A12" s="1" t="s">
        <v>76</v>
      </c>
      <c r="B12" s="25">
        <v>6.8815677149854357</v>
      </c>
    </row>
    <row r="13" spans="1:2">
      <c r="A13" s="1" t="s">
        <v>88</v>
      </c>
      <c r="B13" s="25">
        <v>6.583322610725145</v>
      </c>
    </row>
    <row r="14" spans="1:2">
      <c r="A14" s="1" t="s">
        <v>196</v>
      </c>
      <c r="B14" s="25">
        <v>72.274645561024144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54DD3-9870-4110-813A-B3BDFE07E26C}">
  <dimension ref="AB30:AS47"/>
  <sheetViews>
    <sheetView showGridLines="0" tabSelected="1" topLeftCell="A4" zoomScale="53" zoomScaleNormal="55" workbookViewId="0">
      <selection activeCell="Y54" sqref="Y54"/>
    </sheetView>
  </sheetViews>
  <sheetFormatPr defaultRowHeight="14.4"/>
  <sheetData>
    <row r="30" spans="28:28">
      <c r="AB30" t="s">
        <v>275</v>
      </c>
    </row>
    <row r="47" spans="45:45">
      <c r="AS47" t="s">
        <v>274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clean</vt:lpstr>
      <vt:lpstr>Pinot Ph 1</vt:lpstr>
      <vt:lpstr>Dashboard phase1</vt:lpstr>
      <vt:lpstr>phase2</vt:lpstr>
      <vt:lpstr>pivot phase 2 </vt:lpstr>
      <vt:lpstr>phase3</vt:lpstr>
      <vt:lpstr>compartive analysis ph4</vt:lpstr>
      <vt:lpstr>Phase  Piovt 4</vt:lpstr>
      <vt:lpstr>ph5</vt:lpstr>
      <vt:lpstr>Piovt phase 5</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Royal</dc:creator>
  <cp:lastModifiedBy>Mahany</cp:lastModifiedBy>
  <dcterms:created xsi:type="dcterms:W3CDTF">2026-04-26T17:15:04Z</dcterms:created>
  <dcterms:modified xsi:type="dcterms:W3CDTF">2026-07-09T17:21:22Z</dcterms:modified>
</cp:coreProperties>
</file>